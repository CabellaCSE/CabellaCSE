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l\Downloads\"/>
    </mc:Choice>
  </mc:AlternateContent>
  <xr:revisionPtr revIDLastSave="0" documentId="13_ncr:1_{7D8D4D62-63B4-485D-8592-17B0280DBF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07" i="1" l="1"/>
  <c r="AE207" i="1"/>
  <c r="AC207" i="1"/>
  <c r="Z207" i="1"/>
  <c r="W207" i="1"/>
  <c r="T207" i="1"/>
  <c r="Q207" i="1"/>
  <c r="N207" i="1"/>
  <c r="K207" i="1"/>
  <c r="F207" i="1"/>
  <c r="E207" i="1"/>
  <c r="AF206" i="1"/>
  <c r="AE206" i="1"/>
  <c r="AC206" i="1"/>
  <c r="Z206" i="1"/>
  <c r="W206" i="1"/>
  <c r="T206" i="1"/>
  <c r="Q206" i="1"/>
  <c r="N206" i="1"/>
  <c r="K206" i="1"/>
  <c r="F206" i="1"/>
  <c r="E206" i="1"/>
  <c r="AE205" i="1"/>
  <c r="AF205" i="1" s="1"/>
  <c r="AC205" i="1"/>
  <c r="Z205" i="1"/>
  <c r="W205" i="1"/>
  <c r="T205" i="1"/>
  <c r="Q205" i="1"/>
  <c r="N205" i="1"/>
  <c r="K205" i="1"/>
  <c r="F205" i="1"/>
  <c r="E205" i="1"/>
  <c r="AE204" i="1"/>
  <c r="AF204" i="1" s="1"/>
  <c r="AC204" i="1"/>
  <c r="Z204" i="1"/>
  <c r="W204" i="1"/>
  <c r="T204" i="1"/>
  <c r="Q204" i="1"/>
  <c r="N204" i="1"/>
  <c r="K204" i="1"/>
  <c r="F204" i="1"/>
  <c r="E204" i="1"/>
  <c r="AE203" i="1"/>
  <c r="AF203" i="1" s="1"/>
  <c r="AC203" i="1"/>
  <c r="Z203" i="1"/>
  <c r="W203" i="1"/>
  <c r="T203" i="1"/>
  <c r="Q203" i="1"/>
  <c r="N203" i="1"/>
  <c r="K203" i="1"/>
  <c r="F203" i="1"/>
  <c r="E203" i="1"/>
  <c r="AE202" i="1"/>
  <c r="AF202" i="1" s="1"/>
  <c r="AC202" i="1"/>
  <c r="Z202" i="1"/>
  <c r="W202" i="1"/>
  <c r="T202" i="1"/>
  <c r="Q202" i="1"/>
  <c r="N202" i="1"/>
  <c r="K202" i="1"/>
  <c r="F202" i="1"/>
  <c r="E202" i="1"/>
  <c r="AF201" i="1"/>
  <c r="AE201" i="1"/>
  <c r="AC201" i="1"/>
  <c r="Z201" i="1"/>
  <c r="W201" i="1"/>
  <c r="T201" i="1"/>
  <c r="Q201" i="1"/>
  <c r="N201" i="1"/>
  <c r="K201" i="1"/>
  <c r="F201" i="1"/>
  <c r="E201" i="1"/>
  <c r="AE200" i="1"/>
  <c r="AF200" i="1" s="1"/>
  <c r="AC200" i="1"/>
  <c r="Z200" i="1"/>
  <c r="W200" i="1"/>
  <c r="T200" i="1"/>
  <c r="Q200" i="1"/>
  <c r="N200" i="1"/>
  <c r="K200" i="1"/>
  <c r="F200" i="1"/>
  <c r="E200" i="1"/>
  <c r="AE199" i="1"/>
  <c r="AF199" i="1" s="1"/>
  <c r="AB199" i="1"/>
  <c r="AC199" i="1" s="1"/>
  <c r="Z199" i="1"/>
  <c r="Y199" i="1"/>
  <c r="W199" i="1"/>
  <c r="V199" i="1"/>
  <c r="U199" i="1"/>
  <c r="O199" i="1"/>
  <c r="P199" i="1" s="1"/>
  <c r="Q199" i="1" s="1"/>
  <c r="N199" i="1"/>
  <c r="M199" i="1"/>
  <c r="L199" i="1"/>
  <c r="R199" i="1" s="1"/>
  <c r="S199" i="1" s="1"/>
  <c r="T199" i="1" s="1"/>
  <c r="K199" i="1"/>
  <c r="J199" i="1"/>
  <c r="F199" i="1"/>
  <c r="E199" i="1"/>
  <c r="AE198" i="1"/>
  <c r="AF198" i="1" s="1"/>
  <c r="AC198" i="1"/>
  <c r="AB198" i="1"/>
  <c r="Z198" i="1"/>
  <c r="Y198" i="1"/>
  <c r="U198" i="1"/>
  <c r="V198" i="1" s="1"/>
  <c r="W198" i="1" s="1"/>
  <c r="O198" i="1"/>
  <c r="P198" i="1" s="1"/>
  <c r="Q198" i="1" s="1"/>
  <c r="M198" i="1"/>
  <c r="N198" i="1" s="1"/>
  <c r="L198" i="1"/>
  <c r="R198" i="1" s="1"/>
  <c r="S198" i="1" s="1"/>
  <c r="T198" i="1" s="1"/>
  <c r="K198" i="1"/>
  <c r="J198" i="1"/>
  <c r="E198" i="1"/>
  <c r="F198" i="1" s="1"/>
  <c r="AF197" i="1"/>
  <c r="AE197" i="1"/>
  <c r="AC197" i="1"/>
  <c r="AB197" i="1"/>
  <c r="Y197" i="1"/>
  <c r="Z197" i="1" s="1"/>
  <c r="W197" i="1"/>
  <c r="U197" i="1"/>
  <c r="V197" i="1" s="1"/>
  <c r="S197" i="1"/>
  <c r="T197" i="1" s="1"/>
  <c r="R197" i="1"/>
  <c r="P197" i="1"/>
  <c r="Q197" i="1" s="1"/>
  <c r="O197" i="1"/>
  <c r="M197" i="1"/>
  <c r="N197" i="1" s="1"/>
  <c r="L197" i="1"/>
  <c r="J197" i="1"/>
  <c r="K197" i="1" s="1"/>
  <c r="F197" i="1"/>
  <c r="E197" i="1"/>
  <c r="AF196" i="1"/>
  <c r="AE196" i="1"/>
  <c r="AC196" i="1"/>
  <c r="AB196" i="1"/>
  <c r="Y196" i="1"/>
  <c r="Z196" i="1" s="1"/>
  <c r="W196" i="1"/>
  <c r="U196" i="1"/>
  <c r="V196" i="1" s="1"/>
  <c r="R196" i="1"/>
  <c r="S196" i="1" s="1"/>
  <c r="T196" i="1" s="1"/>
  <c r="Q196" i="1"/>
  <c r="O196" i="1"/>
  <c r="P196" i="1" s="1"/>
  <c r="M196" i="1"/>
  <c r="N196" i="1" s="1"/>
  <c r="L196" i="1"/>
  <c r="K196" i="1"/>
  <c r="J196" i="1"/>
  <c r="F196" i="1"/>
  <c r="E196" i="1"/>
  <c r="AF195" i="1"/>
  <c r="AE195" i="1"/>
  <c r="AB195" i="1"/>
  <c r="AC195" i="1" s="1"/>
  <c r="Z195" i="1"/>
  <c r="Y195" i="1"/>
  <c r="U195" i="1"/>
  <c r="V195" i="1" s="1"/>
  <c r="W195" i="1" s="1"/>
  <c r="L195" i="1"/>
  <c r="K195" i="1"/>
  <c r="J195" i="1"/>
  <c r="F195" i="1"/>
  <c r="E195" i="1"/>
  <c r="AF194" i="1"/>
  <c r="AE194" i="1"/>
  <c r="AC194" i="1"/>
  <c r="AB194" i="1"/>
  <c r="U194" i="1"/>
  <c r="V194" i="1" s="1"/>
  <c r="W194" i="1" s="1"/>
  <c r="R194" i="1"/>
  <c r="S194" i="1" s="1"/>
  <c r="T194" i="1" s="1"/>
  <c r="L194" i="1"/>
  <c r="J194" i="1"/>
  <c r="K194" i="1" s="1"/>
  <c r="E194" i="1"/>
  <c r="F194" i="1" s="1"/>
  <c r="AE193" i="1"/>
  <c r="AF193" i="1" s="1"/>
  <c r="AB193" i="1"/>
  <c r="AC193" i="1" s="1"/>
  <c r="Y193" i="1"/>
  <c r="Z193" i="1" s="1"/>
  <c r="X193" i="1"/>
  <c r="U193" i="1"/>
  <c r="V193" i="1" s="1"/>
  <c r="W193" i="1" s="1"/>
  <c r="S193" i="1"/>
  <c r="T193" i="1" s="1"/>
  <c r="R193" i="1"/>
  <c r="O193" i="1"/>
  <c r="P193" i="1" s="1"/>
  <c r="Q193" i="1" s="1"/>
  <c r="M193" i="1"/>
  <c r="N193" i="1" s="1"/>
  <c r="L193" i="1"/>
  <c r="K193" i="1"/>
  <c r="J193" i="1"/>
  <c r="E193" i="1"/>
  <c r="F193" i="1" s="1"/>
  <c r="AF192" i="1"/>
  <c r="AE192" i="1"/>
  <c r="AC192" i="1"/>
  <c r="AB192" i="1"/>
  <c r="X192" i="1"/>
  <c r="Y192" i="1" s="1"/>
  <c r="Z192" i="1" s="1"/>
  <c r="V192" i="1"/>
  <c r="W192" i="1" s="1"/>
  <c r="U192" i="1"/>
  <c r="R192" i="1"/>
  <c r="S192" i="1" s="1"/>
  <c r="T192" i="1" s="1"/>
  <c r="Q192" i="1"/>
  <c r="P192" i="1"/>
  <c r="L192" i="1"/>
  <c r="O192" i="1" s="1"/>
  <c r="K192" i="1"/>
  <c r="J192" i="1"/>
  <c r="E192" i="1"/>
  <c r="F192" i="1" s="1"/>
  <c r="AE191" i="1"/>
  <c r="AF191" i="1" s="1"/>
  <c r="AB191" i="1"/>
  <c r="AC191" i="1" s="1"/>
  <c r="Z191" i="1"/>
  <c r="Y191" i="1"/>
  <c r="R191" i="1"/>
  <c r="S191" i="1" s="1"/>
  <c r="T191" i="1" s="1"/>
  <c r="P191" i="1"/>
  <c r="Q191" i="1" s="1"/>
  <c r="O191" i="1"/>
  <c r="N191" i="1"/>
  <c r="M191" i="1"/>
  <c r="I191" i="1"/>
  <c r="E191" i="1"/>
  <c r="F191" i="1" s="1"/>
  <c r="AE190" i="1"/>
  <c r="AF190" i="1" s="1"/>
  <c r="AB190" i="1"/>
  <c r="AC190" i="1" s="1"/>
  <c r="Y190" i="1"/>
  <c r="Z190" i="1" s="1"/>
  <c r="V190" i="1"/>
  <c r="W190" i="1" s="1"/>
  <c r="U190" i="1"/>
  <c r="P190" i="1"/>
  <c r="Q190" i="1" s="1"/>
  <c r="M190" i="1"/>
  <c r="N190" i="1" s="1"/>
  <c r="L190" i="1"/>
  <c r="O190" i="1" s="1"/>
  <c r="J190" i="1"/>
  <c r="K190" i="1" s="1"/>
  <c r="E190" i="1"/>
  <c r="F190" i="1" s="1"/>
  <c r="AE189" i="1"/>
  <c r="AF189" i="1" s="1"/>
  <c r="AB189" i="1"/>
  <c r="AC189" i="1" s="1"/>
  <c r="Y189" i="1"/>
  <c r="Z189" i="1" s="1"/>
  <c r="U189" i="1"/>
  <c r="V189" i="1" s="1"/>
  <c r="W189" i="1" s="1"/>
  <c r="T189" i="1"/>
  <c r="R189" i="1"/>
  <c r="S189" i="1" s="1"/>
  <c r="P189" i="1"/>
  <c r="Q189" i="1" s="1"/>
  <c r="L189" i="1"/>
  <c r="O189" i="1" s="1"/>
  <c r="J189" i="1"/>
  <c r="K189" i="1" s="1"/>
  <c r="E189" i="1"/>
  <c r="F189" i="1" s="1"/>
  <c r="AE188" i="1"/>
  <c r="AF188" i="1" s="1"/>
  <c r="AB188" i="1"/>
  <c r="AC188" i="1" s="1"/>
  <c r="Y188" i="1"/>
  <c r="Z188" i="1" s="1"/>
  <c r="U188" i="1"/>
  <c r="V188" i="1" s="1"/>
  <c r="W188" i="1" s="1"/>
  <c r="R188" i="1"/>
  <c r="S188" i="1" s="1"/>
  <c r="T188" i="1" s="1"/>
  <c r="O188" i="1"/>
  <c r="P188" i="1" s="1"/>
  <c r="Q188" i="1" s="1"/>
  <c r="L188" i="1"/>
  <c r="M188" i="1" s="1"/>
  <c r="N188" i="1" s="1"/>
  <c r="J188" i="1"/>
  <c r="K188" i="1" s="1"/>
  <c r="E188" i="1"/>
  <c r="F188" i="1" s="1"/>
  <c r="AE187" i="1"/>
  <c r="AF187" i="1" s="1"/>
  <c r="AB187" i="1"/>
  <c r="AC187" i="1" s="1"/>
  <c r="Y187" i="1"/>
  <c r="Z187" i="1" s="1"/>
  <c r="W187" i="1"/>
  <c r="V187" i="1"/>
  <c r="U187" i="1"/>
  <c r="R187" i="1"/>
  <c r="S187" i="1" s="1"/>
  <c r="T187" i="1" s="1"/>
  <c r="P187" i="1"/>
  <c r="Q187" i="1" s="1"/>
  <c r="O187" i="1"/>
  <c r="N187" i="1"/>
  <c r="M187" i="1"/>
  <c r="K187" i="1"/>
  <c r="J187" i="1"/>
  <c r="E187" i="1"/>
  <c r="F187" i="1" s="1"/>
  <c r="AF186" i="1"/>
  <c r="AE186" i="1"/>
  <c r="AC186" i="1"/>
  <c r="AB186" i="1"/>
  <c r="Z186" i="1"/>
  <c r="Y186" i="1"/>
  <c r="V186" i="1"/>
  <c r="W186" i="1" s="1"/>
  <c r="U186" i="1"/>
  <c r="S186" i="1"/>
  <c r="T186" i="1" s="1"/>
  <c r="R186" i="1"/>
  <c r="O186" i="1"/>
  <c r="P186" i="1" s="1"/>
  <c r="Q186" i="1" s="1"/>
  <c r="M186" i="1"/>
  <c r="N186" i="1" s="1"/>
  <c r="L186" i="1"/>
  <c r="K186" i="1"/>
  <c r="J186" i="1"/>
  <c r="F186" i="1"/>
  <c r="E186" i="1"/>
  <c r="AF185" i="1"/>
  <c r="AE185" i="1"/>
  <c r="AC185" i="1"/>
  <c r="AB185" i="1"/>
  <c r="Y185" i="1"/>
  <c r="Z185" i="1" s="1"/>
  <c r="W185" i="1"/>
  <c r="U185" i="1"/>
  <c r="V185" i="1" s="1"/>
  <c r="S185" i="1"/>
  <c r="T185" i="1" s="1"/>
  <c r="R185" i="1"/>
  <c r="O185" i="1"/>
  <c r="P185" i="1" s="1"/>
  <c r="Q185" i="1" s="1"/>
  <c r="M185" i="1"/>
  <c r="N185" i="1" s="1"/>
  <c r="J185" i="1"/>
  <c r="K185" i="1" s="1"/>
  <c r="E185" i="1"/>
  <c r="F185" i="1" s="1"/>
  <c r="AE184" i="1"/>
  <c r="AF184" i="1" s="1"/>
  <c r="AB184" i="1"/>
  <c r="AC184" i="1" s="1"/>
  <c r="Y184" i="1"/>
  <c r="Z184" i="1" s="1"/>
  <c r="W184" i="1"/>
  <c r="V184" i="1"/>
  <c r="U184" i="1"/>
  <c r="R184" i="1"/>
  <c r="S184" i="1" s="1"/>
  <c r="T184" i="1" s="1"/>
  <c r="P184" i="1"/>
  <c r="Q184" i="1" s="1"/>
  <c r="O184" i="1"/>
  <c r="N184" i="1"/>
  <c r="M184" i="1"/>
  <c r="K184" i="1"/>
  <c r="J184" i="1"/>
  <c r="E184" i="1"/>
  <c r="F184" i="1" s="1"/>
  <c r="AF183" i="1"/>
  <c r="AE183" i="1"/>
  <c r="AC183" i="1"/>
  <c r="AB183" i="1"/>
  <c r="Y183" i="1"/>
  <c r="Z183" i="1" s="1"/>
  <c r="W183" i="1"/>
  <c r="U183" i="1"/>
  <c r="V183" i="1" s="1"/>
  <c r="S183" i="1"/>
  <c r="T183" i="1" s="1"/>
  <c r="R183" i="1"/>
  <c r="O183" i="1"/>
  <c r="P183" i="1" s="1"/>
  <c r="Q183" i="1" s="1"/>
  <c r="M183" i="1"/>
  <c r="N183" i="1" s="1"/>
  <c r="J183" i="1"/>
  <c r="K183" i="1" s="1"/>
  <c r="F183" i="1"/>
  <c r="E183" i="1"/>
  <c r="AE182" i="1"/>
  <c r="AF182" i="1" s="1"/>
  <c r="AB182" i="1"/>
  <c r="AC182" i="1" s="1"/>
  <c r="Y182" i="1"/>
  <c r="Z182" i="1" s="1"/>
  <c r="W182" i="1"/>
  <c r="V182" i="1"/>
  <c r="U182" i="1"/>
  <c r="T182" i="1"/>
  <c r="R182" i="1"/>
  <c r="S182" i="1" s="1"/>
  <c r="P182" i="1"/>
  <c r="Q182" i="1" s="1"/>
  <c r="O182" i="1"/>
  <c r="N182" i="1"/>
  <c r="M182" i="1"/>
  <c r="K182" i="1"/>
  <c r="J182" i="1"/>
  <c r="E182" i="1"/>
  <c r="F182" i="1" s="1"/>
  <c r="AF181" i="1"/>
  <c r="AE181" i="1"/>
  <c r="AC181" i="1"/>
  <c r="AB181" i="1"/>
  <c r="Y181" i="1"/>
  <c r="Z181" i="1" s="1"/>
  <c r="X181" i="1"/>
  <c r="V181" i="1"/>
  <c r="W181" i="1" s="1"/>
  <c r="S181" i="1"/>
  <c r="T181" i="1" s="1"/>
  <c r="R181" i="1"/>
  <c r="O181" i="1"/>
  <c r="P181" i="1" s="1"/>
  <c r="Q181" i="1" s="1"/>
  <c r="M181" i="1"/>
  <c r="N181" i="1" s="1"/>
  <c r="L181" i="1"/>
  <c r="J181" i="1"/>
  <c r="K181" i="1" s="1"/>
  <c r="F181" i="1"/>
  <c r="E181" i="1"/>
  <c r="AF180" i="1"/>
  <c r="AE180" i="1"/>
  <c r="AC180" i="1"/>
  <c r="AB180" i="1"/>
  <c r="V180" i="1"/>
  <c r="W180" i="1" s="1"/>
  <c r="U180" i="1"/>
  <c r="R180" i="1"/>
  <c r="S180" i="1" s="1"/>
  <c r="T180" i="1" s="1"/>
  <c r="L180" i="1"/>
  <c r="J180" i="1"/>
  <c r="K180" i="1" s="1"/>
  <c r="E180" i="1"/>
  <c r="F180" i="1" s="1"/>
  <c r="AE179" i="1"/>
  <c r="AF179" i="1" s="1"/>
  <c r="AB179" i="1"/>
  <c r="AC179" i="1" s="1"/>
  <c r="U179" i="1"/>
  <c r="V179" i="1" s="1"/>
  <c r="W179" i="1" s="1"/>
  <c r="T179" i="1"/>
  <c r="S179" i="1"/>
  <c r="R179" i="1"/>
  <c r="Q179" i="1"/>
  <c r="O179" i="1"/>
  <c r="P179" i="1" s="1"/>
  <c r="N179" i="1"/>
  <c r="M179" i="1"/>
  <c r="L179" i="1"/>
  <c r="X179" i="1" s="1"/>
  <c r="Y179" i="1" s="1"/>
  <c r="Z179" i="1" s="1"/>
  <c r="K179" i="1"/>
  <c r="J179" i="1"/>
  <c r="F179" i="1"/>
  <c r="E179" i="1"/>
  <c r="AE178" i="1"/>
  <c r="AF178" i="1" s="1"/>
  <c r="AC178" i="1"/>
  <c r="AB178" i="1"/>
  <c r="Z178" i="1"/>
  <c r="Y178" i="1"/>
  <c r="V178" i="1"/>
  <c r="W178" i="1" s="1"/>
  <c r="U178" i="1"/>
  <c r="S178" i="1"/>
  <c r="T178" i="1" s="1"/>
  <c r="Q178" i="1"/>
  <c r="O178" i="1"/>
  <c r="P178" i="1" s="1"/>
  <c r="M178" i="1"/>
  <c r="N178" i="1" s="1"/>
  <c r="L178" i="1"/>
  <c r="R178" i="1" s="1"/>
  <c r="K178" i="1"/>
  <c r="J178" i="1"/>
  <c r="E178" i="1"/>
  <c r="F178" i="1" s="1"/>
  <c r="AF177" i="1"/>
  <c r="AE177" i="1"/>
  <c r="AC177" i="1"/>
  <c r="AB177" i="1"/>
  <c r="Z177" i="1"/>
  <c r="Y177" i="1"/>
  <c r="W177" i="1"/>
  <c r="V177" i="1"/>
  <c r="U177" i="1"/>
  <c r="S177" i="1"/>
  <c r="T177" i="1" s="1"/>
  <c r="R177" i="1"/>
  <c r="O177" i="1"/>
  <c r="P177" i="1" s="1"/>
  <c r="Q177" i="1" s="1"/>
  <c r="M177" i="1"/>
  <c r="N177" i="1" s="1"/>
  <c r="L177" i="1"/>
  <c r="K177" i="1"/>
  <c r="J177" i="1"/>
  <c r="E177" i="1"/>
  <c r="F177" i="1" s="1"/>
  <c r="AF176" i="1"/>
  <c r="AE176" i="1"/>
  <c r="AC176" i="1"/>
  <c r="AB176" i="1"/>
  <c r="Y176" i="1"/>
  <c r="Z176" i="1" s="1"/>
  <c r="X176" i="1"/>
  <c r="V176" i="1"/>
  <c r="W176" i="1" s="1"/>
  <c r="U176" i="1"/>
  <c r="R176" i="1"/>
  <c r="S176" i="1" s="1"/>
  <c r="T176" i="1" s="1"/>
  <c r="P176" i="1"/>
  <c r="Q176" i="1" s="1"/>
  <c r="L176" i="1"/>
  <c r="O176" i="1" s="1"/>
  <c r="K176" i="1"/>
  <c r="J176" i="1"/>
  <c r="E176" i="1"/>
  <c r="F176" i="1" s="1"/>
  <c r="AE175" i="1"/>
  <c r="AF175" i="1" s="1"/>
  <c r="AB175" i="1"/>
  <c r="AC175" i="1" s="1"/>
  <c r="Z175" i="1"/>
  <c r="Y175" i="1"/>
  <c r="V175" i="1"/>
  <c r="W175" i="1" s="1"/>
  <c r="U175" i="1"/>
  <c r="S175" i="1"/>
  <c r="T175" i="1" s="1"/>
  <c r="R175" i="1"/>
  <c r="L175" i="1"/>
  <c r="J175" i="1"/>
  <c r="K175" i="1" s="1"/>
  <c r="E175" i="1"/>
  <c r="F175" i="1" s="1"/>
  <c r="AE174" i="1"/>
  <c r="AF174" i="1" s="1"/>
  <c r="AC174" i="1"/>
  <c r="AB174" i="1"/>
  <c r="Y174" i="1"/>
  <c r="Z174" i="1" s="1"/>
  <c r="V174" i="1"/>
  <c r="W174" i="1" s="1"/>
  <c r="U174" i="1"/>
  <c r="S174" i="1"/>
  <c r="T174" i="1" s="1"/>
  <c r="R174" i="1"/>
  <c r="L174" i="1"/>
  <c r="J174" i="1"/>
  <c r="K174" i="1" s="1"/>
  <c r="E174" i="1"/>
  <c r="F174" i="1" s="1"/>
  <c r="AE173" i="1"/>
  <c r="AF173" i="1" s="1"/>
  <c r="AC173" i="1"/>
  <c r="AB173" i="1"/>
  <c r="Y173" i="1"/>
  <c r="Z173" i="1" s="1"/>
  <c r="U173" i="1"/>
  <c r="V173" i="1" s="1"/>
  <c r="W173" i="1" s="1"/>
  <c r="R173" i="1"/>
  <c r="S173" i="1" s="1"/>
  <c r="T173" i="1" s="1"/>
  <c r="P173" i="1"/>
  <c r="Q173" i="1" s="1"/>
  <c r="L173" i="1"/>
  <c r="O173" i="1" s="1"/>
  <c r="J173" i="1"/>
  <c r="K173" i="1" s="1"/>
  <c r="E173" i="1"/>
  <c r="F173" i="1" s="1"/>
  <c r="AF172" i="1"/>
  <c r="AE172" i="1"/>
  <c r="AB172" i="1"/>
  <c r="AC172" i="1" s="1"/>
  <c r="Y172" i="1"/>
  <c r="Z172" i="1" s="1"/>
  <c r="U172" i="1"/>
  <c r="V172" i="1" s="1"/>
  <c r="W172" i="1" s="1"/>
  <c r="O172" i="1"/>
  <c r="P172" i="1" s="1"/>
  <c r="Q172" i="1" s="1"/>
  <c r="L172" i="1"/>
  <c r="J172" i="1"/>
  <c r="K172" i="1" s="1"/>
  <c r="E172" i="1"/>
  <c r="F172" i="1" s="1"/>
  <c r="AF171" i="1"/>
  <c r="AE171" i="1"/>
  <c r="AB171" i="1"/>
  <c r="AC171" i="1" s="1"/>
  <c r="Y171" i="1"/>
  <c r="Z171" i="1" s="1"/>
  <c r="W171" i="1"/>
  <c r="V171" i="1"/>
  <c r="S171" i="1"/>
  <c r="T171" i="1" s="1"/>
  <c r="M171" i="1"/>
  <c r="N171" i="1" s="1"/>
  <c r="L171" i="1"/>
  <c r="O171" i="1" s="1"/>
  <c r="P171" i="1" s="1"/>
  <c r="Q171" i="1" s="1"/>
  <c r="J171" i="1"/>
  <c r="K171" i="1" s="1"/>
  <c r="I171" i="1"/>
  <c r="E171" i="1"/>
  <c r="F171" i="1" s="1"/>
  <c r="AF170" i="1"/>
  <c r="AE170" i="1"/>
  <c r="AC170" i="1"/>
  <c r="AB170" i="1"/>
  <c r="Z170" i="1"/>
  <c r="Y170" i="1"/>
  <c r="V170" i="1"/>
  <c r="W170" i="1" s="1"/>
  <c r="U170" i="1"/>
  <c r="P170" i="1"/>
  <c r="Q170" i="1" s="1"/>
  <c r="O170" i="1"/>
  <c r="M170" i="1"/>
  <c r="N170" i="1" s="1"/>
  <c r="L170" i="1"/>
  <c r="I170" i="1"/>
  <c r="E170" i="1"/>
  <c r="F170" i="1" s="1"/>
  <c r="AE169" i="1"/>
  <c r="AF169" i="1" s="1"/>
  <c r="AB169" i="1"/>
  <c r="AC169" i="1" s="1"/>
  <c r="Y169" i="1"/>
  <c r="Z169" i="1" s="1"/>
  <c r="V169" i="1"/>
  <c r="W169" i="1" s="1"/>
  <c r="S169" i="1"/>
  <c r="T169" i="1" s="1"/>
  <c r="P169" i="1"/>
  <c r="Q169" i="1" s="1"/>
  <c r="M169" i="1"/>
  <c r="N169" i="1" s="1"/>
  <c r="J169" i="1"/>
  <c r="K169" i="1" s="1"/>
  <c r="E169" i="1"/>
  <c r="F169" i="1" s="1"/>
  <c r="AF168" i="1"/>
  <c r="AC168" i="1"/>
  <c r="Z168" i="1"/>
  <c r="W168" i="1"/>
  <c r="T168" i="1"/>
  <c r="Q168" i="1"/>
  <c r="M168" i="1"/>
  <c r="N168" i="1" s="1"/>
  <c r="K168" i="1"/>
  <c r="F168" i="1"/>
  <c r="AE167" i="1"/>
  <c r="AF167" i="1" s="1"/>
  <c r="AB167" i="1"/>
  <c r="AC167" i="1" s="1"/>
  <c r="Z167" i="1"/>
  <c r="Y167" i="1"/>
  <c r="V167" i="1"/>
  <c r="W167" i="1" s="1"/>
  <c r="R167" i="1"/>
  <c r="U167" i="1" s="1"/>
  <c r="P167" i="1"/>
  <c r="M167" i="1"/>
  <c r="N167" i="1" s="1"/>
  <c r="J167" i="1"/>
  <c r="H167" i="1"/>
  <c r="Q167" i="1" s="1"/>
  <c r="F167" i="1"/>
  <c r="E167" i="1"/>
  <c r="AE166" i="1"/>
  <c r="AB166" i="1"/>
  <c r="AC166" i="1" s="1"/>
  <c r="Y166" i="1"/>
  <c r="R166" i="1"/>
  <c r="Q166" i="1"/>
  <c r="P166" i="1"/>
  <c r="M166" i="1"/>
  <c r="J166" i="1"/>
  <c r="K166" i="1" s="1"/>
  <c r="H166" i="1"/>
  <c r="N166" i="1" s="1"/>
  <c r="E166" i="1"/>
  <c r="F166" i="1" s="1"/>
  <c r="AE165" i="1"/>
  <c r="AB165" i="1"/>
  <c r="Y165" i="1"/>
  <c r="R165" i="1"/>
  <c r="U165" i="1" s="1"/>
  <c r="V165" i="1" s="1"/>
  <c r="W165" i="1" s="1"/>
  <c r="P165" i="1"/>
  <c r="M165" i="1"/>
  <c r="J165" i="1"/>
  <c r="H165" i="1"/>
  <c r="Z165" i="1" s="1"/>
  <c r="F165" i="1"/>
  <c r="E165" i="1"/>
  <c r="AF164" i="1"/>
  <c r="AE164" i="1"/>
  <c r="AB164" i="1"/>
  <c r="AC164" i="1" s="1"/>
  <c r="Y164" i="1"/>
  <c r="Z164" i="1" s="1"/>
  <c r="W164" i="1"/>
  <c r="U164" i="1"/>
  <c r="V164" i="1" s="1"/>
  <c r="S164" i="1"/>
  <c r="T164" i="1" s="1"/>
  <c r="R164" i="1"/>
  <c r="Q164" i="1"/>
  <c r="P164" i="1"/>
  <c r="N164" i="1"/>
  <c r="M164" i="1"/>
  <c r="K164" i="1"/>
  <c r="J164" i="1"/>
  <c r="H164" i="1"/>
  <c r="E164" i="1"/>
  <c r="F164" i="1" s="1"/>
  <c r="AE163" i="1"/>
  <c r="AF163" i="1" s="1"/>
  <c r="AB163" i="1"/>
  <c r="AC163" i="1" s="1"/>
  <c r="Y163" i="1"/>
  <c r="R163" i="1"/>
  <c r="U163" i="1" s="1"/>
  <c r="V163" i="1" s="1"/>
  <c r="P163" i="1"/>
  <c r="M163" i="1"/>
  <c r="J163" i="1"/>
  <c r="H163" i="1"/>
  <c r="Z163" i="1" s="1"/>
  <c r="F163" i="1"/>
  <c r="E163" i="1"/>
  <c r="AE162" i="1"/>
  <c r="AC162" i="1"/>
  <c r="AB162" i="1"/>
  <c r="Y162" i="1"/>
  <c r="S162" i="1"/>
  <c r="R162" i="1"/>
  <c r="U162" i="1" s="1"/>
  <c r="V162" i="1" s="1"/>
  <c r="P162" i="1"/>
  <c r="M162" i="1"/>
  <c r="J162" i="1"/>
  <c r="H162" i="1"/>
  <c r="AF162" i="1" s="1"/>
  <c r="F162" i="1"/>
  <c r="E162" i="1"/>
  <c r="AE161" i="1"/>
  <c r="AB161" i="1"/>
  <c r="Y161" i="1"/>
  <c r="R161" i="1"/>
  <c r="P161" i="1"/>
  <c r="Q161" i="1" s="1"/>
  <c r="M161" i="1"/>
  <c r="N161" i="1" s="1"/>
  <c r="J161" i="1"/>
  <c r="K161" i="1" s="1"/>
  <c r="H161" i="1"/>
  <c r="F161" i="1"/>
  <c r="E161" i="1"/>
  <c r="AF160" i="1"/>
  <c r="AE160" i="1"/>
  <c r="AB160" i="1"/>
  <c r="Y160" i="1"/>
  <c r="Z160" i="1" s="1"/>
  <c r="S160" i="1"/>
  <c r="T160" i="1" s="1"/>
  <c r="R160" i="1"/>
  <c r="U160" i="1" s="1"/>
  <c r="V160" i="1" s="1"/>
  <c r="W160" i="1" s="1"/>
  <c r="Q160" i="1"/>
  <c r="P160" i="1"/>
  <c r="N160" i="1"/>
  <c r="M160" i="1"/>
  <c r="K160" i="1"/>
  <c r="J160" i="1"/>
  <c r="H160" i="1"/>
  <c r="AC160" i="1" s="1"/>
  <c r="F160" i="1"/>
  <c r="E160" i="1"/>
  <c r="AE159" i="1"/>
  <c r="AF159" i="1" s="1"/>
  <c r="AB159" i="1"/>
  <c r="AC159" i="1" s="1"/>
  <c r="Y159" i="1"/>
  <c r="Z159" i="1" s="1"/>
  <c r="R159" i="1"/>
  <c r="U159" i="1" s="1"/>
  <c r="V159" i="1" s="1"/>
  <c r="W159" i="1" s="1"/>
  <c r="P159" i="1"/>
  <c r="Q159" i="1" s="1"/>
  <c r="M159" i="1"/>
  <c r="J159" i="1"/>
  <c r="K159" i="1" s="1"/>
  <c r="H159" i="1"/>
  <c r="F159" i="1"/>
  <c r="E159" i="1"/>
  <c r="AE158" i="1"/>
  <c r="AC158" i="1"/>
  <c r="AB158" i="1"/>
  <c r="Z158" i="1"/>
  <c r="Y158" i="1"/>
  <c r="W158" i="1"/>
  <c r="U158" i="1"/>
  <c r="V158" i="1" s="1"/>
  <c r="S158" i="1"/>
  <c r="T158" i="1" s="1"/>
  <c r="R158" i="1"/>
  <c r="P158" i="1"/>
  <c r="M158" i="1"/>
  <c r="K158" i="1"/>
  <c r="J158" i="1"/>
  <c r="H158" i="1"/>
  <c r="E158" i="1"/>
  <c r="F158" i="1" s="1"/>
  <c r="AE157" i="1"/>
  <c r="AF157" i="1" s="1"/>
  <c r="AB157" i="1"/>
  <c r="AC157" i="1" s="1"/>
  <c r="Z157" i="1"/>
  <c r="Y157" i="1"/>
  <c r="S157" i="1"/>
  <c r="R157" i="1"/>
  <c r="U157" i="1" s="1"/>
  <c r="V157" i="1" s="1"/>
  <c r="W157" i="1" s="1"/>
  <c r="P157" i="1"/>
  <c r="Q157" i="1" s="1"/>
  <c r="M157" i="1"/>
  <c r="N157" i="1" s="1"/>
  <c r="J157" i="1"/>
  <c r="K157" i="1" s="1"/>
  <c r="H157" i="1"/>
  <c r="T157" i="1" s="1"/>
  <c r="F157" i="1"/>
  <c r="E157" i="1"/>
  <c r="AE156" i="1"/>
  <c r="AC156" i="1"/>
  <c r="AB156" i="1"/>
  <c r="Y156" i="1"/>
  <c r="R156" i="1"/>
  <c r="Q156" i="1"/>
  <c r="P156" i="1"/>
  <c r="M156" i="1"/>
  <c r="J156" i="1"/>
  <c r="K156" i="1" s="1"/>
  <c r="H156" i="1"/>
  <c r="AF156" i="1" s="1"/>
  <c r="E156" i="1"/>
  <c r="F156" i="1" s="1"/>
  <c r="AE155" i="1"/>
  <c r="AF155" i="1" s="1"/>
  <c r="AB155" i="1"/>
  <c r="Z155" i="1"/>
  <c r="Y155" i="1"/>
  <c r="S155" i="1"/>
  <c r="T155" i="1" s="1"/>
  <c r="R155" i="1"/>
  <c r="U155" i="1" s="1"/>
  <c r="V155" i="1" s="1"/>
  <c r="W155" i="1" s="1"/>
  <c r="Q155" i="1"/>
  <c r="P155" i="1"/>
  <c r="M155" i="1"/>
  <c r="N155" i="1" s="1"/>
  <c r="J155" i="1"/>
  <c r="K155" i="1" s="1"/>
  <c r="H155" i="1"/>
  <c r="F155" i="1"/>
  <c r="E155" i="1"/>
  <c r="AE154" i="1"/>
  <c r="AB154" i="1"/>
  <c r="Y154" i="1"/>
  <c r="U154" i="1"/>
  <c r="V154" i="1" s="1"/>
  <c r="W154" i="1" s="1"/>
  <c r="S154" i="1"/>
  <c r="R154" i="1"/>
  <c r="P154" i="1"/>
  <c r="M154" i="1"/>
  <c r="J154" i="1"/>
  <c r="H154" i="1"/>
  <c r="F154" i="1"/>
  <c r="E154" i="1"/>
  <c r="AE153" i="1"/>
  <c r="AF153" i="1" s="1"/>
  <c r="AB153" i="1"/>
  <c r="AC153" i="1" s="1"/>
  <c r="Z153" i="1"/>
  <c r="Y153" i="1"/>
  <c r="V153" i="1"/>
  <c r="W153" i="1" s="1"/>
  <c r="R153" i="1"/>
  <c r="U153" i="1" s="1"/>
  <c r="P153" i="1"/>
  <c r="M153" i="1"/>
  <c r="J153" i="1"/>
  <c r="K153" i="1" s="1"/>
  <c r="H153" i="1"/>
  <c r="F153" i="1"/>
  <c r="E153" i="1"/>
  <c r="AF152" i="1"/>
  <c r="AE152" i="1"/>
  <c r="AB152" i="1"/>
  <c r="Y152" i="1"/>
  <c r="R152" i="1"/>
  <c r="P152" i="1"/>
  <c r="M152" i="1"/>
  <c r="J152" i="1"/>
  <c r="H152" i="1"/>
  <c r="F152" i="1"/>
  <c r="E152" i="1"/>
  <c r="AE151" i="1"/>
  <c r="AB151" i="1"/>
  <c r="Y151" i="1"/>
  <c r="V151" i="1"/>
  <c r="S151" i="1"/>
  <c r="R151" i="1"/>
  <c r="U151" i="1" s="1"/>
  <c r="P151" i="1"/>
  <c r="M151" i="1"/>
  <c r="J151" i="1"/>
  <c r="H151" i="1"/>
  <c r="F151" i="1"/>
  <c r="E151" i="1"/>
  <c r="AF150" i="1"/>
  <c r="AE150" i="1"/>
  <c r="AB150" i="1"/>
  <c r="AC150" i="1" s="1"/>
  <c r="Z150" i="1"/>
  <c r="Y150" i="1"/>
  <c r="R150" i="1"/>
  <c r="Q150" i="1"/>
  <c r="P150" i="1"/>
  <c r="N150" i="1"/>
  <c r="M150" i="1"/>
  <c r="K150" i="1"/>
  <c r="J150" i="1"/>
  <c r="H150" i="1"/>
  <c r="E150" i="1"/>
  <c r="F150" i="1" s="1"/>
  <c r="AE149" i="1"/>
  <c r="AB149" i="1"/>
  <c r="Y149" i="1"/>
  <c r="Z149" i="1" s="1"/>
  <c r="V149" i="1"/>
  <c r="R149" i="1"/>
  <c r="U149" i="1" s="1"/>
  <c r="P149" i="1"/>
  <c r="M149" i="1"/>
  <c r="J149" i="1"/>
  <c r="H149" i="1"/>
  <c r="F149" i="1"/>
  <c r="E149" i="1"/>
  <c r="AE148" i="1"/>
  <c r="AB148" i="1"/>
  <c r="AC148" i="1" s="1"/>
  <c r="Z148" i="1"/>
  <c r="Y148" i="1"/>
  <c r="W148" i="1"/>
  <c r="S148" i="1"/>
  <c r="R148" i="1"/>
  <c r="U148" i="1" s="1"/>
  <c r="V148" i="1" s="1"/>
  <c r="P148" i="1"/>
  <c r="N148" i="1"/>
  <c r="M148" i="1"/>
  <c r="J148" i="1"/>
  <c r="K148" i="1" s="1"/>
  <c r="H148" i="1"/>
  <c r="Q148" i="1" s="1"/>
  <c r="F148" i="1"/>
  <c r="E148" i="1"/>
  <c r="AE147" i="1"/>
  <c r="AB147" i="1"/>
  <c r="AC147" i="1" s="1"/>
  <c r="Y147" i="1"/>
  <c r="S147" i="1"/>
  <c r="T147" i="1" s="1"/>
  <c r="R147" i="1"/>
  <c r="U147" i="1" s="1"/>
  <c r="V147" i="1" s="1"/>
  <c r="W147" i="1" s="1"/>
  <c r="P147" i="1"/>
  <c r="M147" i="1"/>
  <c r="J147" i="1"/>
  <c r="K147" i="1" s="1"/>
  <c r="H147" i="1"/>
  <c r="Q147" i="1" s="1"/>
  <c r="F147" i="1"/>
  <c r="E147" i="1"/>
  <c r="AF146" i="1"/>
  <c r="AE146" i="1"/>
  <c r="AB146" i="1"/>
  <c r="Y146" i="1"/>
  <c r="Z146" i="1" s="1"/>
  <c r="U146" i="1"/>
  <c r="V146" i="1" s="1"/>
  <c r="W146" i="1" s="1"/>
  <c r="S146" i="1"/>
  <c r="T146" i="1" s="1"/>
  <c r="R146" i="1"/>
  <c r="Q146" i="1"/>
  <c r="P146" i="1"/>
  <c r="N146" i="1"/>
  <c r="M146" i="1"/>
  <c r="K146" i="1"/>
  <c r="J146" i="1"/>
  <c r="H146" i="1"/>
  <c r="AC146" i="1" s="1"/>
  <c r="F146" i="1"/>
  <c r="E146" i="1"/>
  <c r="AE145" i="1"/>
  <c r="AF145" i="1" s="1"/>
  <c r="AB145" i="1"/>
  <c r="AC145" i="1" s="1"/>
  <c r="Y145" i="1"/>
  <c r="Z145" i="1" s="1"/>
  <c r="R145" i="1"/>
  <c r="P145" i="1"/>
  <c r="Q145" i="1" s="1"/>
  <c r="M145" i="1"/>
  <c r="N145" i="1" s="1"/>
  <c r="J145" i="1"/>
  <c r="K145" i="1" s="1"/>
  <c r="H145" i="1"/>
  <c r="F145" i="1"/>
  <c r="E145" i="1"/>
  <c r="AE144" i="1"/>
  <c r="AB144" i="1"/>
  <c r="AC144" i="1" s="1"/>
  <c r="Y144" i="1"/>
  <c r="Z144" i="1" s="1"/>
  <c r="W144" i="1"/>
  <c r="U144" i="1"/>
  <c r="V144" i="1" s="1"/>
  <c r="S144" i="1"/>
  <c r="T144" i="1" s="1"/>
  <c r="R144" i="1"/>
  <c r="P144" i="1"/>
  <c r="M144" i="1"/>
  <c r="J144" i="1"/>
  <c r="K144" i="1" s="1"/>
  <c r="H144" i="1"/>
  <c r="F144" i="1"/>
  <c r="E144" i="1"/>
  <c r="AE143" i="1"/>
  <c r="AF143" i="1" s="1"/>
  <c r="AB143" i="1"/>
  <c r="AC143" i="1" s="1"/>
  <c r="Y143" i="1"/>
  <c r="Z143" i="1" s="1"/>
  <c r="V143" i="1"/>
  <c r="S143" i="1"/>
  <c r="R143" i="1"/>
  <c r="U143" i="1" s="1"/>
  <c r="P143" i="1"/>
  <c r="M143" i="1"/>
  <c r="J143" i="1"/>
  <c r="K143" i="1" s="1"/>
  <c r="H143" i="1"/>
  <c r="T143" i="1" s="1"/>
  <c r="F143" i="1"/>
  <c r="E143" i="1"/>
  <c r="AF142" i="1"/>
  <c r="AE142" i="1"/>
  <c r="AB142" i="1"/>
  <c r="Y142" i="1"/>
  <c r="U142" i="1"/>
  <c r="V142" i="1" s="1"/>
  <c r="W142" i="1" s="1"/>
  <c r="S142" i="1"/>
  <c r="R142" i="1"/>
  <c r="P142" i="1"/>
  <c r="M142" i="1"/>
  <c r="J142" i="1"/>
  <c r="K142" i="1" s="1"/>
  <c r="H142" i="1"/>
  <c r="E142" i="1"/>
  <c r="F142" i="1" s="1"/>
  <c r="AE141" i="1"/>
  <c r="AB141" i="1"/>
  <c r="Y141" i="1"/>
  <c r="Z141" i="1" s="1"/>
  <c r="R141" i="1"/>
  <c r="U141" i="1" s="1"/>
  <c r="V141" i="1" s="1"/>
  <c r="W141" i="1" s="1"/>
  <c r="Q141" i="1"/>
  <c r="P141" i="1"/>
  <c r="M141" i="1"/>
  <c r="N141" i="1" s="1"/>
  <c r="J141" i="1"/>
  <c r="K141" i="1" s="1"/>
  <c r="H141" i="1"/>
  <c r="F141" i="1"/>
  <c r="E141" i="1"/>
  <c r="AE140" i="1"/>
  <c r="AB140" i="1"/>
  <c r="AC140" i="1" s="1"/>
  <c r="Y140" i="1"/>
  <c r="S140" i="1"/>
  <c r="T140" i="1" s="1"/>
  <c r="R140" i="1"/>
  <c r="U140" i="1" s="1"/>
  <c r="V140" i="1" s="1"/>
  <c r="W140" i="1" s="1"/>
  <c r="Q140" i="1"/>
  <c r="P140" i="1"/>
  <c r="M140" i="1"/>
  <c r="J140" i="1"/>
  <c r="H140" i="1"/>
  <c r="E140" i="1"/>
  <c r="F140" i="1" s="1"/>
  <c r="AE139" i="1"/>
  <c r="AF139" i="1" s="1"/>
  <c r="AB139" i="1"/>
  <c r="Y139" i="1"/>
  <c r="V139" i="1"/>
  <c r="R139" i="1"/>
  <c r="U139" i="1" s="1"/>
  <c r="P139" i="1"/>
  <c r="M139" i="1"/>
  <c r="N139" i="1" s="1"/>
  <c r="J139" i="1"/>
  <c r="K139" i="1" s="1"/>
  <c r="H139" i="1"/>
  <c r="Q139" i="1" s="1"/>
  <c r="F139" i="1"/>
  <c r="E139" i="1"/>
  <c r="AE138" i="1"/>
  <c r="AB138" i="1"/>
  <c r="Y138" i="1"/>
  <c r="R138" i="1"/>
  <c r="P138" i="1"/>
  <c r="M138" i="1"/>
  <c r="J138" i="1"/>
  <c r="K138" i="1" s="1"/>
  <c r="H138" i="1"/>
  <c r="F138" i="1"/>
  <c r="E138" i="1"/>
  <c r="AE137" i="1"/>
  <c r="AB137" i="1"/>
  <c r="Y137" i="1"/>
  <c r="R137" i="1"/>
  <c r="P137" i="1"/>
  <c r="Q137" i="1" s="1"/>
  <c r="M137" i="1"/>
  <c r="J137" i="1"/>
  <c r="H137" i="1"/>
  <c r="Z137" i="1" s="1"/>
  <c r="F137" i="1"/>
  <c r="E137" i="1"/>
  <c r="AF136" i="1"/>
  <c r="AE136" i="1"/>
  <c r="AB136" i="1"/>
  <c r="AC136" i="1" s="1"/>
  <c r="Y136" i="1"/>
  <c r="Z136" i="1" s="1"/>
  <c r="R136" i="1"/>
  <c r="U136" i="1" s="1"/>
  <c r="V136" i="1" s="1"/>
  <c r="W136" i="1" s="1"/>
  <c r="Q136" i="1"/>
  <c r="P136" i="1"/>
  <c r="N136" i="1"/>
  <c r="M136" i="1"/>
  <c r="K136" i="1"/>
  <c r="J136" i="1"/>
  <c r="H136" i="1"/>
  <c r="E136" i="1"/>
  <c r="F136" i="1" s="1"/>
  <c r="AE135" i="1"/>
  <c r="AF135" i="1" s="1"/>
  <c r="AB135" i="1"/>
  <c r="AC135" i="1" s="1"/>
  <c r="Y135" i="1"/>
  <c r="Z135" i="1" s="1"/>
  <c r="R135" i="1"/>
  <c r="P135" i="1"/>
  <c r="Q135" i="1" s="1"/>
  <c r="M135" i="1"/>
  <c r="J135" i="1"/>
  <c r="H135" i="1"/>
  <c r="F135" i="1"/>
  <c r="E135" i="1"/>
  <c r="AF134" i="1"/>
  <c r="AE134" i="1"/>
  <c r="AC134" i="1"/>
  <c r="AB134" i="1"/>
  <c r="Y134" i="1"/>
  <c r="U134" i="1"/>
  <c r="V134" i="1" s="1"/>
  <c r="S134" i="1"/>
  <c r="R134" i="1"/>
  <c r="P134" i="1"/>
  <c r="M134" i="1"/>
  <c r="J134" i="1"/>
  <c r="H134" i="1"/>
  <c r="F134" i="1"/>
  <c r="E134" i="1"/>
  <c r="AF133" i="1"/>
  <c r="AE133" i="1"/>
  <c r="AB133" i="1"/>
  <c r="Y133" i="1"/>
  <c r="R133" i="1"/>
  <c r="P133" i="1"/>
  <c r="Q133" i="1" s="1"/>
  <c r="M133" i="1"/>
  <c r="N133" i="1" s="1"/>
  <c r="J133" i="1"/>
  <c r="H133" i="1"/>
  <c r="Z133" i="1" s="1"/>
  <c r="F133" i="1"/>
  <c r="E133" i="1"/>
  <c r="AF132" i="1"/>
  <c r="AE132" i="1"/>
  <c r="AB132" i="1"/>
  <c r="Y132" i="1"/>
  <c r="Z132" i="1" s="1"/>
  <c r="U132" i="1"/>
  <c r="V132" i="1" s="1"/>
  <c r="W132" i="1" s="1"/>
  <c r="S132" i="1"/>
  <c r="T132" i="1" s="1"/>
  <c r="R132" i="1"/>
  <c r="P132" i="1"/>
  <c r="M132" i="1"/>
  <c r="N132" i="1" s="1"/>
  <c r="J132" i="1"/>
  <c r="K132" i="1" s="1"/>
  <c r="H132" i="1"/>
  <c r="Q132" i="1" s="1"/>
  <c r="F132" i="1"/>
  <c r="E132" i="1"/>
  <c r="AE131" i="1"/>
  <c r="AF131" i="1" s="1"/>
  <c r="AB131" i="1"/>
  <c r="AC131" i="1" s="1"/>
  <c r="Y131" i="1"/>
  <c r="Z131" i="1" s="1"/>
  <c r="R131" i="1"/>
  <c r="S131" i="1" s="1"/>
  <c r="T131" i="1" s="1"/>
  <c r="Q131" i="1"/>
  <c r="P131" i="1"/>
  <c r="N131" i="1"/>
  <c r="M131" i="1"/>
  <c r="J131" i="1"/>
  <c r="K131" i="1" s="1"/>
  <c r="H131" i="1"/>
  <c r="F131" i="1"/>
  <c r="E131" i="1"/>
  <c r="AE130" i="1"/>
  <c r="AB130" i="1"/>
  <c r="Y130" i="1"/>
  <c r="V130" i="1"/>
  <c r="U130" i="1"/>
  <c r="S130" i="1"/>
  <c r="R130" i="1"/>
  <c r="P130" i="1"/>
  <c r="M130" i="1"/>
  <c r="J130" i="1"/>
  <c r="H130" i="1"/>
  <c r="F130" i="1"/>
  <c r="E130" i="1"/>
  <c r="AF129" i="1"/>
  <c r="AE129" i="1"/>
  <c r="AC129" i="1"/>
  <c r="AB129" i="1"/>
  <c r="Y129" i="1"/>
  <c r="Z129" i="1" s="1"/>
  <c r="S129" i="1"/>
  <c r="T129" i="1" s="1"/>
  <c r="R129" i="1"/>
  <c r="U129" i="1" s="1"/>
  <c r="V129" i="1" s="1"/>
  <c r="W129" i="1" s="1"/>
  <c r="Q129" i="1"/>
  <c r="P129" i="1"/>
  <c r="N129" i="1"/>
  <c r="M129" i="1"/>
  <c r="J129" i="1"/>
  <c r="K129" i="1" s="1"/>
  <c r="H129" i="1"/>
  <c r="F129" i="1"/>
  <c r="E129" i="1"/>
  <c r="AE128" i="1"/>
  <c r="AF128" i="1" s="1"/>
  <c r="AB128" i="1"/>
  <c r="AC128" i="1" s="1"/>
  <c r="Z128" i="1"/>
  <c r="Y128" i="1"/>
  <c r="U128" i="1"/>
  <c r="V128" i="1" s="1"/>
  <c r="W128" i="1" s="1"/>
  <c r="T128" i="1"/>
  <c r="S128" i="1"/>
  <c r="R128" i="1"/>
  <c r="P128" i="1"/>
  <c r="M128" i="1"/>
  <c r="N128" i="1" s="1"/>
  <c r="K128" i="1"/>
  <c r="J128" i="1"/>
  <c r="H128" i="1"/>
  <c r="Q128" i="1" s="1"/>
  <c r="E128" i="1"/>
  <c r="F128" i="1" s="1"/>
  <c r="AE127" i="1"/>
  <c r="AF127" i="1" s="1"/>
  <c r="AC127" i="1"/>
  <c r="AB127" i="1"/>
  <c r="Y127" i="1"/>
  <c r="Z127" i="1" s="1"/>
  <c r="R127" i="1"/>
  <c r="U127" i="1" s="1"/>
  <c r="V127" i="1" s="1"/>
  <c r="W127" i="1" s="1"/>
  <c r="Q127" i="1"/>
  <c r="P127" i="1"/>
  <c r="M127" i="1"/>
  <c r="N127" i="1" s="1"/>
  <c r="K127" i="1"/>
  <c r="J127" i="1"/>
  <c r="H127" i="1"/>
  <c r="F127" i="1"/>
  <c r="E127" i="1"/>
  <c r="AE126" i="1"/>
  <c r="AF126" i="1" s="1"/>
  <c r="AB126" i="1"/>
  <c r="AC126" i="1" s="1"/>
  <c r="Y126" i="1"/>
  <c r="Z126" i="1" s="1"/>
  <c r="V126" i="1"/>
  <c r="U126" i="1"/>
  <c r="S126" i="1"/>
  <c r="T126" i="1" s="1"/>
  <c r="R126" i="1"/>
  <c r="P126" i="1"/>
  <c r="M126" i="1"/>
  <c r="N126" i="1" s="1"/>
  <c r="K126" i="1"/>
  <c r="J126" i="1"/>
  <c r="H126" i="1"/>
  <c r="Q126" i="1" s="1"/>
  <c r="E126" i="1"/>
  <c r="F126" i="1" s="1"/>
  <c r="AF125" i="1"/>
  <c r="AE125" i="1"/>
  <c r="AC125" i="1"/>
  <c r="AB125" i="1"/>
  <c r="Y125" i="1"/>
  <c r="Z125" i="1" s="1"/>
  <c r="R125" i="1"/>
  <c r="Q125" i="1"/>
  <c r="P125" i="1"/>
  <c r="M125" i="1"/>
  <c r="N125" i="1" s="1"/>
  <c r="J125" i="1"/>
  <c r="K125" i="1" s="1"/>
  <c r="H125" i="1"/>
  <c r="F125" i="1"/>
  <c r="E125" i="1"/>
  <c r="AE124" i="1"/>
  <c r="AB124" i="1"/>
  <c r="Y124" i="1"/>
  <c r="V124" i="1"/>
  <c r="U124" i="1"/>
  <c r="S124" i="1"/>
  <c r="R124" i="1"/>
  <c r="P124" i="1"/>
  <c r="M124" i="1"/>
  <c r="J124" i="1"/>
  <c r="H124" i="1"/>
  <c r="E124" i="1"/>
  <c r="F124" i="1" s="1"/>
  <c r="AE123" i="1"/>
  <c r="AF123" i="1" s="1"/>
  <c r="AC123" i="1"/>
  <c r="AB123" i="1"/>
  <c r="Y123" i="1"/>
  <c r="Z123" i="1" s="1"/>
  <c r="U123" i="1"/>
  <c r="V123" i="1" s="1"/>
  <c r="W123" i="1" s="1"/>
  <c r="T123" i="1"/>
  <c r="S123" i="1"/>
  <c r="R123" i="1"/>
  <c r="P123" i="1"/>
  <c r="Q123" i="1" s="1"/>
  <c r="N123" i="1"/>
  <c r="M123" i="1"/>
  <c r="K123" i="1"/>
  <c r="J123" i="1"/>
  <c r="H123" i="1"/>
  <c r="F123" i="1"/>
  <c r="E123" i="1"/>
  <c r="AE122" i="1"/>
  <c r="AF122" i="1" s="1"/>
  <c r="AC122" i="1"/>
  <c r="AB122" i="1"/>
  <c r="Y122" i="1"/>
  <c r="U122" i="1"/>
  <c r="V122" i="1" s="1"/>
  <c r="S122" i="1"/>
  <c r="R122" i="1"/>
  <c r="P122" i="1"/>
  <c r="M122" i="1"/>
  <c r="J122" i="1"/>
  <c r="K122" i="1" s="1"/>
  <c r="H122" i="1"/>
  <c r="Q122" i="1" s="1"/>
  <c r="F122" i="1"/>
  <c r="E122" i="1"/>
  <c r="AF121" i="1"/>
  <c r="AE121" i="1"/>
  <c r="AB121" i="1"/>
  <c r="AC121" i="1" s="1"/>
  <c r="Y121" i="1"/>
  <c r="Z121" i="1" s="1"/>
  <c r="U121" i="1"/>
  <c r="V121" i="1" s="1"/>
  <c r="W121" i="1" s="1"/>
  <c r="S121" i="1"/>
  <c r="T121" i="1" s="1"/>
  <c r="R121" i="1"/>
  <c r="P121" i="1"/>
  <c r="Q121" i="1" s="1"/>
  <c r="M121" i="1"/>
  <c r="N121" i="1" s="1"/>
  <c r="K121" i="1"/>
  <c r="J121" i="1"/>
  <c r="H121" i="1"/>
  <c r="F121" i="1"/>
  <c r="E121" i="1"/>
  <c r="AE120" i="1"/>
  <c r="AB120" i="1"/>
  <c r="Y120" i="1"/>
  <c r="V120" i="1"/>
  <c r="U120" i="1"/>
  <c r="S120" i="1"/>
  <c r="R120" i="1"/>
  <c r="P120" i="1"/>
  <c r="M120" i="1"/>
  <c r="J120" i="1"/>
  <c r="H120" i="1"/>
  <c r="F120" i="1"/>
  <c r="E120" i="1"/>
  <c r="AF119" i="1"/>
  <c r="AE119" i="1"/>
  <c r="AC119" i="1"/>
  <c r="AB119" i="1"/>
  <c r="Y119" i="1"/>
  <c r="Z119" i="1" s="1"/>
  <c r="R119" i="1"/>
  <c r="U119" i="1" s="1"/>
  <c r="V119" i="1" s="1"/>
  <c r="W119" i="1" s="1"/>
  <c r="Q119" i="1"/>
  <c r="P119" i="1"/>
  <c r="M119" i="1"/>
  <c r="N119" i="1" s="1"/>
  <c r="K119" i="1"/>
  <c r="J119" i="1"/>
  <c r="H119" i="1"/>
  <c r="F119" i="1"/>
  <c r="E119" i="1"/>
  <c r="AE118" i="1"/>
  <c r="AF118" i="1" s="1"/>
  <c r="AB118" i="1"/>
  <c r="Y118" i="1"/>
  <c r="Z118" i="1" s="1"/>
  <c r="U118" i="1"/>
  <c r="V118" i="1" s="1"/>
  <c r="W118" i="1" s="1"/>
  <c r="T118" i="1"/>
  <c r="S118" i="1"/>
  <c r="R118" i="1"/>
  <c r="P118" i="1"/>
  <c r="M118" i="1"/>
  <c r="N118" i="1" s="1"/>
  <c r="K118" i="1"/>
  <c r="J118" i="1"/>
  <c r="H118" i="1"/>
  <c r="Q118" i="1" s="1"/>
  <c r="F118" i="1"/>
  <c r="E118" i="1"/>
  <c r="AE117" i="1"/>
  <c r="AF117" i="1" s="1"/>
  <c r="AB117" i="1"/>
  <c r="AC117" i="1" s="1"/>
  <c r="Y117" i="1"/>
  <c r="Z117" i="1" s="1"/>
  <c r="U117" i="1"/>
  <c r="V117" i="1" s="1"/>
  <c r="W117" i="1" s="1"/>
  <c r="R117" i="1"/>
  <c r="S117" i="1" s="1"/>
  <c r="T117" i="1" s="1"/>
  <c r="P117" i="1"/>
  <c r="Q117" i="1" s="1"/>
  <c r="N117" i="1"/>
  <c r="M117" i="1"/>
  <c r="J117" i="1"/>
  <c r="K117" i="1" s="1"/>
  <c r="H117" i="1"/>
  <c r="F117" i="1"/>
  <c r="E117" i="1"/>
  <c r="AE116" i="1"/>
  <c r="AF116" i="1" s="1"/>
  <c r="AC116" i="1"/>
  <c r="AB116" i="1"/>
  <c r="Y116" i="1"/>
  <c r="Z116" i="1" s="1"/>
  <c r="W116" i="1"/>
  <c r="V116" i="1"/>
  <c r="U116" i="1"/>
  <c r="S116" i="1"/>
  <c r="R116" i="1"/>
  <c r="P116" i="1"/>
  <c r="M116" i="1"/>
  <c r="K116" i="1"/>
  <c r="J116" i="1"/>
  <c r="H116" i="1"/>
  <c r="F116" i="1"/>
  <c r="E116" i="1"/>
  <c r="AE115" i="1"/>
  <c r="AF115" i="1" s="1"/>
  <c r="AC115" i="1"/>
  <c r="AB115" i="1"/>
  <c r="Y115" i="1"/>
  <c r="Z115" i="1" s="1"/>
  <c r="S115" i="1"/>
  <c r="T115" i="1" s="1"/>
  <c r="R115" i="1"/>
  <c r="U115" i="1" s="1"/>
  <c r="V115" i="1" s="1"/>
  <c r="W115" i="1" s="1"/>
  <c r="P115" i="1"/>
  <c r="Q115" i="1" s="1"/>
  <c r="N115" i="1"/>
  <c r="M115" i="1"/>
  <c r="J115" i="1"/>
  <c r="K115" i="1" s="1"/>
  <c r="H115" i="1"/>
  <c r="F115" i="1"/>
  <c r="E115" i="1"/>
  <c r="AE114" i="1"/>
  <c r="AF114" i="1" s="1"/>
  <c r="AB114" i="1"/>
  <c r="AC114" i="1" s="1"/>
  <c r="Z114" i="1"/>
  <c r="Y114" i="1"/>
  <c r="W114" i="1"/>
  <c r="V114" i="1"/>
  <c r="U114" i="1"/>
  <c r="T114" i="1"/>
  <c r="S114" i="1"/>
  <c r="R114" i="1"/>
  <c r="P114" i="1"/>
  <c r="M114" i="1"/>
  <c r="N114" i="1" s="1"/>
  <c r="J114" i="1"/>
  <c r="K114" i="1" s="1"/>
  <c r="H114" i="1"/>
  <c r="Q114" i="1" s="1"/>
  <c r="E114" i="1"/>
  <c r="F114" i="1" s="1"/>
  <c r="AE113" i="1"/>
  <c r="AF113" i="1" s="1"/>
  <c r="AC113" i="1"/>
  <c r="AB113" i="1"/>
  <c r="Y113" i="1"/>
  <c r="Z113" i="1" s="1"/>
  <c r="R113" i="1"/>
  <c r="U113" i="1" s="1"/>
  <c r="V113" i="1" s="1"/>
  <c r="W113" i="1" s="1"/>
  <c r="P113" i="1"/>
  <c r="Q113" i="1" s="1"/>
  <c r="M113" i="1"/>
  <c r="N113" i="1" s="1"/>
  <c r="K113" i="1"/>
  <c r="J113" i="1"/>
  <c r="H113" i="1"/>
  <c r="F113" i="1"/>
  <c r="E113" i="1"/>
  <c r="AE112" i="1"/>
  <c r="AF112" i="1" s="1"/>
  <c r="AB112" i="1"/>
  <c r="AC112" i="1" s="1"/>
  <c r="Y112" i="1"/>
  <c r="Z112" i="1" s="1"/>
  <c r="V112" i="1"/>
  <c r="U112" i="1"/>
  <c r="S112" i="1"/>
  <c r="T112" i="1" s="1"/>
  <c r="R112" i="1"/>
  <c r="P112" i="1"/>
  <c r="M112" i="1"/>
  <c r="N112" i="1" s="1"/>
  <c r="K112" i="1"/>
  <c r="J112" i="1"/>
  <c r="H112" i="1"/>
  <c r="Q112" i="1" s="1"/>
  <c r="E112" i="1"/>
  <c r="F112" i="1" s="1"/>
  <c r="AF111" i="1"/>
  <c r="AE111" i="1"/>
  <c r="AC111" i="1"/>
  <c r="AB111" i="1"/>
  <c r="Y111" i="1"/>
  <c r="Z111" i="1" s="1"/>
  <c r="U111" i="1"/>
  <c r="V111" i="1" s="1"/>
  <c r="W111" i="1" s="1"/>
  <c r="S111" i="1"/>
  <c r="T111" i="1" s="1"/>
  <c r="R111" i="1"/>
  <c r="Q111" i="1"/>
  <c r="P111" i="1"/>
  <c r="M111" i="1"/>
  <c r="N111" i="1" s="1"/>
  <c r="J111" i="1"/>
  <c r="K111" i="1" s="1"/>
  <c r="H111" i="1"/>
  <c r="E111" i="1"/>
  <c r="F111" i="1" s="1"/>
  <c r="AE110" i="1"/>
  <c r="AB110" i="1"/>
  <c r="AC110" i="1" s="1"/>
  <c r="Y110" i="1"/>
  <c r="Z110" i="1" s="1"/>
  <c r="V110" i="1"/>
  <c r="W110" i="1" s="1"/>
  <c r="U110" i="1"/>
  <c r="S110" i="1"/>
  <c r="T110" i="1" s="1"/>
  <c r="R110" i="1"/>
  <c r="P110" i="1"/>
  <c r="Q110" i="1" s="1"/>
  <c r="M110" i="1"/>
  <c r="J110" i="1"/>
  <c r="H110" i="1"/>
  <c r="K110" i="1" s="1"/>
  <c r="F110" i="1"/>
  <c r="E110" i="1"/>
  <c r="AE109" i="1"/>
  <c r="AF109" i="1" s="1"/>
  <c r="AC109" i="1"/>
  <c r="AB109" i="1"/>
  <c r="Y109" i="1"/>
  <c r="Z109" i="1" s="1"/>
  <c r="U109" i="1"/>
  <c r="V109" i="1" s="1"/>
  <c r="W109" i="1" s="1"/>
  <c r="S109" i="1"/>
  <c r="T109" i="1" s="1"/>
  <c r="R109" i="1"/>
  <c r="Q109" i="1"/>
  <c r="P109" i="1"/>
  <c r="M109" i="1"/>
  <c r="N109" i="1" s="1"/>
  <c r="J109" i="1"/>
  <c r="K109" i="1" s="1"/>
  <c r="H109" i="1"/>
  <c r="E109" i="1"/>
  <c r="F109" i="1" s="1"/>
  <c r="AE108" i="1"/>
  <c r="AF108" i="1" s="1"/>
  <c r="AB108" i="1"/>
  <c r="AC108" i="1" s="1"/>
  <c r="Z108" i="1"/>
  <c r="Y108" i="1"/>
  <c r="V108" i="1"/>
  <c r="W108" i="1" s="1"/>
  <c r="U108" i="1"/>
  <c r="S108" i="1"/>
  <c r="T108" i="1" s="1"/>
  <c r="R108" i="1"/>
  <c r="P108" i="1"/>
  <c r="Q108" i="1" s="1"/>
  <c r="M108" i="1"/>
  <c r="N108" i="1" s="1"/>
  <c r="K108" i="1"/>
  <c r="J108" i="1"/>
  <c r="H108" i="1"/>
  <c r="E108" i="1"/>
  <c r="F108" i="1" s="1"/>
  <c r="AF107" i="1"/>
  <c r="AE107" i="1"/>
  <c r="AC107" i="1"/>
  <c r="AB107" i="1"/>
  <c r="Y107" i="1"/>
  <c r="Z107" i="1" s="1"/>
  <c r="R107" i="1"/>
  <c r="U107" i="1" s="1"/>
  <c r="V107" i="1" s="1"/>
  <c r="W107" i="1" s="1"/>
  <c r="Q107" i="1"/>
  <c r="P107" i="1"/>
  <c r="M107" i="1"/>
  <c r="N107" i="1" s="1"/>
  <c r="K107" i="1"/>
  <c r="J107" i="1"/>
  <c r="H107" i="1"/>
  <c r="F107" i="1"/>
  <c r="E107" i="1"/>
  <c r="AE106" i="1"/>
  <c r="AB106" i="1"/>
  <c r="Y106" i="1"/>
  <c r="V106" i="1"/>
  <c r="U106" i="1"/>
  <c r="S106" i="1"/>
  <c r="R106" i="1"/>
  <c r="P106" i="1"/>
  <c r="M106" i="1"/>
  <c r="J106" i="1"/>
  <c r="H106" i="1"/>
  <c r="E106" i="1"/>
  <c r="F106" i="1" s="1"/>
  <c r="AE105" i="1"/>
  <c r="AF105" i="1" s="1"/>
  <c r="AC105" i="1"/>
  <c r="AB105" i="1"/>
  <c r="Y105" i="1"/>
  <c r="Z105" i="1" s="1"/>
  <c r="U105" i="1"/>
  <c r="V105" i="1" s="1"/>
  <c r="W105" i="1" s="1"/>
  <c r="T105" i="1"/>
  <c r="R105" i="1"/>
  <c r="S105" i="1" s="1"/>
  <c r="P105" i="1"/>
  <c r="Q105" i="1" s="1"/>
  <c r="N105" i="1"/>
  <c r="M105" i="1"/>
  <c r="J105" i="1"/>
  <c r="K105" i="1" s="1"/>
  <c r="H105" i="1"/>
  <c r="F105" i="1"/>
  <c r="E105" i="1"/>
  <c r="AE104" i="1"/>
  <c r="AB104" i="1"/>
  <c r="Y104" i="1"/>
  <c r="U104" i="1"/>
  <c r="V104" i="1" s="1"/>
  <c r="S104" i="1"/>
  <c r="R104" i="1"/>
  <c r="P104" i="1"/>
  <c r="M104" i="1"/>
  <c r="J104" i="1"/>
  <c r="H104" i="1"/>
  <c r="F104" i="1"/>
  <c r="E104" i="1"/>
  <c r="AF103" i="1"/>
  <c r="AE103" i="1"/>
  <c r="AB103" i="1"/>
  <c r="AC103" i="1" s="1"/>
  <c r="Y103" i="1"/>
  <c r="Z103" i="1" s="1"/>
  <c r="U103" i="1"/>
  <c r="V103" i="1" s="1"/>
  <c r="W103" i="1" s="1"/>
  <c r="T103" i="1"/>
  <c r="S103" i="1"/>
  <c r="R103" i="1"/>
  <c r="P103" i="1"/>
  <c r="Q103" i="1" s="1"/>
  <c r="M103" i="1"/>
  <c r="N103" i="1" s="1"/>
  <c r="J103" i="1"/>
  <c r="K103" i="1" s="1"/>
  <c r="H103" i="1"/>
  <c r="E103" i="1"/>
  <c r="F103" i="1" s="1"/>
  <c r="AE102" i="1"/>
  <c r="AF102" i="1" s="1"/>
  <c r="AB102" i="1"/>
  <c r="AC102" i="1" s="1"/>
  <c r="Z102" i="1"/>
  <c r="Y102" i="1"/>
  <c r="U102" i="1"/>
  <c r="V102" i="1" s="1"/>
  <c r="W102" i="1" s="1"/>
  <c r="T102" i="1"/>
  <c r="S102" i="1"/>
  <c r="R102" i="1"/>
  <c r="P102" i="1"/>
  <c r="Q102" i="1" s="1"/>
  <c r="M102" i="1"/>
  <c r="J102" i="1"/>
  <c r="K102" i="1" s="1"/>
  <c r="H102" i="1"/>
  <c r="F102" i="1"/>
  <c r="E102" i="1"/>
  <c r="AE101" i="1"/>
  <c r="AB101" i="1"/>
  <c r="Y101" i="1"/>
  <c r="V101" i="1"/>
  <c r="S101" i="1"/>
  <c r="T101" i="1" s="1"/>
  <c r="P101" i="1"/>
  <c r="M101" i="1"/>
  <c r="J101" i="1"/>
  <c r="K101" i="1" s="1"/>
  <c r="H101" i="1"/>
  <c r="F101" i="1"/>
  <c r="E101" i="1"/>
  <c r="AE100" i="1"/>
  <c r="AB100" i="1"/>
  <c r="Y100" i="1"/>
  <c r="R100" i="1"/>
  <c r="P100" i="1"/>
  <c r="M100" i="1"/>
  <c r="J100" i="1"/>
  <c r="H100" i="1"/>
  <c r="F100" i="1"/>
  <c r="E100" i="1"/>
  <c r="AE99" i="1"/>
  <c r="AF99" i="1" s="1"/>
  <c r="AB99" i="1"/>
  <c r="AC99" i="1" s="1"/>
  <c r="Z99" i="1"/>
  <c r="Y99" i="1"/>
  <c r="R99" i="1"/>
  <c r="U99" i="1" s="1"/>
  <c r="V99" i="1" s="1"/>
  <c r="W99" i="1" s="1"/>
  <c r="Q99" i="1"/>
  <c r="P99" i="1"/>
  <c r="M99" i="1"/>
  <c r="N99" i="1" s="1"/>
  <c r="J99" i="1"/>
  <c r="K99" i="1" s="1"/>
  <c r="H99" i="1"/>
  <c r="F99" i="1"/>
  <c r="E99" i="1"/>
  <c r="AE98" i="1"/>
  <c r="AB98" i="1"/>
  <c r="Y98" i="1"/>
  <c r="R98" i="1"/>
  <c r="P98" i="1"/>
  <c r="M98" i="1"/>
  <c r="J98" i="1"/>
  <c r="H98" i="1"/>
  <c r="Q98" i="1" s="1"/>
  <c r="F98" i="1"/>
  <c r="E98" i="1"/>
  <c r="AE97" i="1"/>
  <c r="AF97" i="1" s="1"/>
  <c r="AC97" i="1"/>
  <c r="AB97" i="1"/>
  <c r="Y97" i="1"/>
  <c r="Z97" i="1" s="1"/>
  <c r="U97" i="1"/>
  <c r="V97" i="1" s="1"/>
  <c r="W97" i="1" s="1"/>
  <c r="S97" i="1"/>
  <c r="T97" i="1" s="1"/>
  <c r="R97" i="1"/>
  <c r="P97" i="1"/>
  <c r="Q97" i="1" s="1"/>
  <c r="M97" i="1"/>
  <c r="N97" i="1" s="1"/>
  <c r="K97" i="1"/>
  <c r="J97" i="1"/>
  <c r="H97" i="1"/>
  <c r="E97" i="1"/>
  <c r="F97" i="1" s="1"/>
  <c r="AE96" i="1"/>
  <c r="AF96" i="1" s="1"/>
  <c r="AB96" i="1"/>
  <c r="AC96" i="1" s="1"/>
  <c r="Y96" i="1"/>
  <c r="Z96" i="1" s="1"/>
  <c r="S96" i="1"/>
  <c r="T96" i="1" s="1"/>
  <c r="R96" i="1"/>
  <c r="U96" i="1" s="1"/>
  <c r="V96" i="1" s="1"/>
  <c r="W96" i="1" s="1"/>
  <c r="P96" i="1"/>
  <c r="Q96" i="1" s="1"/>
  <c r="N96" i="1"/>
  <c r="M96" i="1"/>
  <c r="J96" i="1"/>
  <c r="K96" i="1" s="1"/>
  <c r="H96" i="1"/>
  <c r="E96" i="1"/>
  <c r="F96" i="1" s="1"/>
  <c r="AE95" i="1"/>
  <c r="AB95" i="1"/>
  <c r="AC95" i="1" s="1"/>
  <c r="Y95" i="1"/>
  <c r="U95" i="1"/>
  <c r="V95" i="1" s="1"/>
  <c r="W95" i="1" s="1"/>
  <c r="S95" i="1"/>
  <c r="T95" i="1" s="1"/>
  <c r="R95" i="1"/>
  <c r="P95" i="1"/>
  <c r="Q95" i="1" s="1"/>
  <c r="M95" i="1"/>
  <c r="J95" i="1"/>
  <c r="H95" i="1"/>
  <c r="K95" i="1" s="1"/>
  <c r="E95" i="1"/>
  <c r="F95" i="1" s="1"/>
  <c r="AF94" i="1"/>
  <c r="AE94" i="1"/>
  <c r="AB94" i="1"/>
  <c r="AC94" i="1" s="1"/>
  <c r="Y94" i="1"/>
  <c r="Z94" i="1" s="1"/>
  <c r="W94" i="1"/>
  <c r="U94" i="1"/>
  <c r="V94" i="1" s="1"/>
  <c r="R94" i="1"/>
  <c r="S94" i="1" s="1"/>
  <c r="T94" i="1" s="1"/>
  <c r="P94" i="1"/>
  <c r="Q94" i="1" s="1"/>
  <c r="N94" i="1"/>
  <c r="M94" i="1"/>
  <c r="J94" i="1"/>
  <c r="K94" i="1" s="1"/>
  <c r="H94" i="1"/>
  <c r="F94" i="1"/>
  <c r="E94" i="1"/>
  <c r="AE93" i="1"/>
  <c r="AB93" i="1"/>
  <c r="Y93" i="1"/>
  <c r="U93" i="1"/>
  <c r="V93" i="1" s="1"/>
  <c r="S93" i="1"/>
  <c r="R93" i="1"/>
  <c r="P93" i="1"/>
  <c r="M93" i="1"/>
  <c r="J93" i="1"/>
  <c r="H93" i="1"/>
  <c r="Z93" i="1" s="1"/>
  <c r="E93" i="1"/>
  <c r="F93" i="1" s="1"/>
  <c r="AF92" i="1"/>
  <c r="AE92" i="1"/>
  <c r="AB92" i="1"/>
  <c r="AC92" i="1" s="1"/>
  <c r="Y92" i="1"/>
  <c r="Z92" i="1" s="1"/>
  <c r="R92" i="1"/>
  <c r="P92" i="1"/>
  <c r="Q92" i="1" s="1"/>
  <c r="M92" i="1"/>
  <c r="N92" i="1" s="1"/>
  <c r="J92" i="1"/>
  <c r="K92" i="1" s="1"/>
  <c r="H92" i="1"/>
  <c r="F92" i="1"/>
  <c r="E92" i="1"/>
  <c r="AE91" i="1"/>
  <c r="AB91" i="1"/>
  <c r="AC91" i="1" s="1"/>
  <c r="Z91" i="1"/>
  <c r="Y91" i="1"/>
  <c r="V91" i="1"/>
  <c r="W91" i="1" s="1"/>
  <c r="U91" i="1"/>
  <c r="S91" i="1"/>
  <c r="R91" i="1"/>
  <c r="Q91" i="1"/>
  <c r="P91" i="1"/>
  <c r="M91" i="1"/>
  <c r="N91" i="1" s="1"/>
  <c r="K91" i="1"/>
  <c r="J91" i="1"/>
  <c r="H91" i="1"/>
  <c r="E91" i="1"/>
  <c r="F91" i="1" s="1"/>
  <c r="AF90" i="1"/>
  <c r="AE90" i="1"/>
  <c r="AB90" i="1"/>
  <c r="AC90" i="1" s="1"/>
  <c r="Y90" i="1"/>
  <c r="Z90" i="1" s="1"/>
  <c r="R90" i="1"/>
  <c r="U90" i="1" s="1"/>
  <c r="V90" i="1" s="1"/>
  <c r="W90" i="1" s="1"/>
  <c r="P90" i="1"/>
  <c r="Q90" i="1" s="1"/>
  <c r="N90" i="1"/>
  <c r="M90" i="1"/>
  <c r="J90" i="1"/>
  <c r="K90" i="1" s="1"/>
  <c r="H90" i="1"/>
  <c r="F90" i="1"/>
  <c r="E90" i="1"/>
  <c r="AE89" i="1"/>
  <c r="AC89" i="1"/>
  <c r="AB89" i="1"/>
  <c r="Y89" i="1"/>
  <c r="U89" i="1"/>
  <c r="V89" i="1" s="1"/>
  <c r="W89" i="1" s="1"/>
  <c r="S89" i="1"/>
  <c r="R89" i="1"/>
  <c r="P89" i="1"/>
  <c r="M89" i="1"/>
  <c r="J89" i="1"/>
  <c r="K89" i="1" s="1"/>
  <c r="H89" i="1"/>
  <c r="E89" i="1"/>
  <c r="F89" i="1" s="1"/>
  <c r="AE88" i="1"/>
  <c r="AF88" i="1" s="1"/>
  <c r="AB88" i="1"/>
  <c r="AC88" i="1" s="1"/>
  <c r="Y88" i="1"/>
  <c r="Z88" i="1" s="1"/>
  <c r="W88" i="1"/>
  <c r="U88" i="1"/>
  <c r="V88" i="1" s="1"/>
  <c r="S88" i="1"/>
  <c r="T88" i="1" s="1"/>
  <c r="R88" i="1"/>
  <c r="P88" i="1"/>
  <c r="Q88" i="1" s="1"/>
  <c r="M88" i="1"/>
  <c r="N88" i="1" s="1"/>
  <c r="J88" i="1"/>
  <c r="K88" i="1" s="1"/>
  <c r="H88" i="1"/>
  <c r="E88" i="1"/>
  <c r="F88" i="1" s="1"/>
  <c r="AE87" i="1"/>
  <c r="AB87" i="1"/>
  <c r="AC87" i="1" s="1"/>
  <c r="Y87" i="1"/>
  <c r="U87" i="1"/>
  <c r="V87" i="1" s="1"/>
  <c r="W87" i="1" s="1"/>
  <c r="S87" i="1"/>
  <c r="R87" i="1"/>
  <c r="P87" i="1"/>
  <c r="M87" i="1"/>
  <c r="J87" i="1"/>
  <c r="K87" i="1" s="1"/>
  <c r="H87" i="1"/>
  <c r="E87" i="1"/>
  <c r="F87" i="1" s="1"/>
  <c r="AF86" i="1"/>
  <c r="AE86" i="1"/>
  <c r="AB86" i="1"/>
  <c r="AC86" i="1" s="1"/>
  <c r="Y86" i="1"/>
  <c r="Z86" i="1" s="1"/>
  <c r="W86" i="1"/>
  <c r="U86" i="1"/>
  <c r="V86" i="1" s="1"/>
  <c r="S86" i="1"/>
  <c r="T86" i="1" s="1"/>
  <c r="R86" i="1"/>
  <c r="P86" i="1"/>
  <c r="Q86" i="1" s="1"/>
  <c r="N86" i="1"/>
  <c r="M86" i="1"/>
  <c r="J86" i="1"/>
  <c r="K86" i="1" s="1"/>
  <c r="H86" i="1"/>
  <c r="F86" i="1"/>
  <c r="E86" i="1"/>
  <c r="AE85" i="1"/>
  <c r="AB85" i="1"/>
  <c r="AC85" i="1" s="1"/>
  <c r="Z85" i="1"/>
  <c r="Y85" i="1"/>
  <c r="W85" i="1"/>
  <c r="V85" i="1"/>
  <c r="U85" i="1"/>
  <c r="S85" i="1"/>
  <c r="T85" i="1" s="1"/>
  <c r="R85" i="1"/>
  <c r="P85" i="1"/>
  <c r="Q85" i="1" s="1"/>
  <c r="M85" i="1"/>
  <c r="N85" i="1" s="1"/>
  <c r="J85" i="1"/>
  <c r="K85" i="1" s="1"/>
  <c r="H85" i="1"/>
  <c r="E85" i="1"/>
  <c r="F85" i="1" s="1"/>
  <c r="AE84" i="1"/>
  <c r="AF84" i="1" s="1"/>
  <c r="AB84" i="1"/>
  <c r="AC84" i="1" s="1"/>
  <c r="Y84" i="1"/>
  <c r="Z84" i="1" s="1"/>
  <c r="R84" i="1"/>
  <c r="U84" i="1" s="1"/>
  <c r="V84" i="1" s="1"/>
  <c r="W84" i="1" s="1"/>
  <c r="P84" i="1"/>
  <c r="Q84" i="1" s="1"/>
  <c r="M84" i="1"/>
  <c r="N84" i="1" s="1"/>
  <c r="J84" i="1"/>
  <c r="K84" i="1" s="1"/>
  <c r="H84" i="1"/>
  <c r="E84" i="1"/>
  <c r="F84" i="1" s="1"/>
  <c r="AE83" i="1"/>
  <c r="AF83" i="1" s="1"/>
  <c r="AB83" i="1"/>
  <c r="Z83" i="1"/>
  <c r="Y83" i="1"/>
  <c r="W83" i="1"/>
  <c r="V83" i="1"/>
  <c r="U83" i="1"/>
  <c r="S83" i="1"/>
  <c r="R83" i="1"/>
  <c r="P83" i="1"/>
  <c r="Q83" i="1" s="1"/>
  <c r="M83" i="1"/>
  <c r="J83" i="1"/>
  <c r="K83" i="1" s="1"/>
  <c r="H83" i="1"/>
  <c r="AC83" i="1" s="1"/>
  <c r="E83" i="1"/>
  <c r="F83" i="1" s="1"/>
  <c r="AE82" i="1"/>
  <c r="AF82" i="1" s="1"/>
  <c r="AB82" i="1"/>
  <c r="AC82" i="1" s="1"/>
  <c r="Y82" i="1"/>
  <c r="Z82" i="1" s="1"/>
  <c r="R82" i="1"/>
  <c r="U82" i="1" s="1"/>
  <c r="V82" i="1" s="1"/>
  <c r="W82" i="1" s="1"/>
  <c r="P82" i="1"/>
  <c r="Q82" i="1" s="1"/>
  <c r="M82" i="1"/>
  <c r="N82" i="1" s="1"/>
  <c r="J82" i="1"/>
  <c r="K82" i="1" s="1"/>
  <c r="H82" i="1"/>
  <c r="F82" i="1"/>
  <c r="E82" i="1"/>
  <c r="AE81" i="1"/>
  <c r="AC81" i="1"/>
  <c r="AB81" i="1"/>
  <c r="Y81" i="1"/>
  <c r="V81" i="1"/>
  <c r="U81" i="1"/>
  <c r="S81" i="1"/>
  <c r="R81" i="1"/>
  <c r="P81" i="1"/>
  <c r="M81" i="1"/>
  <c r="J81" i="1"/>
  <c r="K81" i="1" s="1"/>
  <c r="H81" i="1"/>
  <c r="E81" i="1"/>
  <c r="F81" i="1" s="1"/>
  <c r="AE80" i="1"/>
  <c r="AF80" i="1" s="1"/>
  <c r="AB80" i="1"/>
  <c r="AC80" i="1" s="1"/>
  <c r="Y80" i="1"/>
  <c r="Z80" i="1" s="1"/>
  <c r="U80" i="1"/>
  <c r="V80" i="1" s="1"/>
  <c r="W80" i="1" s="1"/>
  <c r="T80" i="1"/>
  <c r="S80" i="1"/>
  <c r="R80" i="1"/>
  <c r="P80" i="1"/>
  <c r="Q80" i="1" s="1"/>
  <c r="M80" i="1"/>
  <c r="N80" i="1" s="1"/>
  <c r="J80" i="1"/>
  <c r="K80" i="1" s="1"/>
  <c r="H80" i="1"/>
  <c r="E80" i="1"/>
  <c r="F80" i="1" s="1"/>
  <c r="AE79" i="1"/>
  <c r="AB79" i="1"/>
  <c r="Z79" i="1"/>
  <c r="Y79" i="1"/>
  <c r="U79" i="1"/>
  <c r="V79" i="1" s="1"/>
  <c r="W79" i="1" s="1"/>
  <c r="S79" i="1"/>
  <c r="T79" i="1" s="1"/>
  <c r="R79" i="1"/>
  <c r="Q79" i="1"/>
  <c r="P79" i="1"/>
  <c r="M79" i="1"/>
  <c r="J79" i="1"/>
  <c r="K79" i="1" s="1"/>
  <c r="H79" i="1"/>
  <c r="AC79" i="1" s="1"/>
  <c r="E79" i="1"/>
  <c r="F79" i="1" s="1"/>
  <c r="AF78" i="1"/>
  <c r="AE78" i="1"/>
  <c r="AB78" i="1"/>
  <c r="AC78" i="1" s="1"/>
  <c r="Y78" i="1"/>
  <c r="Z78" i="1" s="1"/>
  <c r="W78" i="1"/>
  <c r="U78" i="1"/>
  <c r="V78" i="1" s="1"/>
  <c r="R78" i="1"/>
  <c r="S78" i="1" s="1"/>
  <c r="T78" i="1" s="1"/>
  <c r="P78" i="1"/>
  <c r="Q78" i="1" s="1"/>
  <c r="M78" i="1"/>
  <c r="N78" i="1" s="1"/>
  <c r="K78" i="1"/>
  <c r="J78" i="1"/>
  <c r="H78" i="1"/>
  <c r="E78" i="1"/>
  <c r="F78" i="1" s="1"/>
  <c r="AE77" i="1"/>
  <c r="AF77" i="1" s="1"/>
  <c r="AC77" i="1"/>
  <c r="AB77" i="1"/>
  <c r="Y77" i="1"/>
  <c r="Z77" i="1" s="1"/>
  <c r="V77" i="1"/>
  <c r="W77" i="1" s="1"/>
  <c r="U77" i="1"/>
  <c r="S77" i="1"/>
  <c r="T77" i="1" s="1"/>
  <c r="R77" i="1"/>
  <c r="P77" i="1"/>
  <c r="Q77" i="1" s="1"/>
  <c r="M77" i="1"/>
  <c r="N77" i="1" s="1"/>
  <c r="J77" i="1"/>
  <c r="K77" i="1" s="1"/>
  <c r="H77" i="1"/>
  <c r="E77" i="1"/>
  <c r="F77" i="1" s="1"/>
  <c r="AE76" i="1"/>
  <c r="AF76" i="1" s="1"/>
  <c r="AB76" i="1"/>
  <c r="AC76" i="1" s="1"/>
  <c r="Y76" i="1"/>
  <c r="Z76" i="1" s="1"/>
  <c r="S76" i="1"/>
  <c r="T76" i="1" s="1"/>
  <c r="R76" i="1"/>
  <c r="U76" i="1" s="1"/>
  <c r="V76" i="1" s="1"/>
  <c r="W76" i="1" s="1"/>
  <c r="Q76" i="1"/>
  <c r="P76" i="1"/>
  <c r="M76" i="1"/>
  <c r="N76" i="1" s="1"/>
  <c r="J76" i="1"/>
  <c r="K76" i="1" s="1"/>
  <c r="H76" i="1"/>
  <c r="E76" i="1"/>
  <c r="F76" i="1" s="1"/>
  <c r="AE75" i="1"/>
  <c r="AB75" i="1"/>
  <c r="AC75" i="1" s="1"/>
  <c r="Z75" i="1"/>
  <c r="Y75" i="1"/>
  <c r="W75" i="1"/>
  <c r="V75" i="1"/>
  <c r="U75" i="1"/>
  <c r="S75" i="1"/>
  <c r="T75" i="1" s="1"/>
  <c r="R75" i="1"/>
  <c r="P75" i="1"/>
  <c r="Q75" i="1" s="1"/>
  <c r="M75" i="1"/>
  <c r="N75" i="1" s="1"/>
  <c r="J75" i="1"/>
  <c r="H75" i="1"/>
  <c r="K75" i="1" s="1"/>
  <c r="E75" i="1"/>
  <c r="F75" i="1" s="1"/>
  <c r="AF74" i="1"/>
  <c r="AE74" i="1"/>
  <c r="AB74" i="1"/>
  <c r="AC74" i="1" s="1"/>
  <c r="Y74" i="1"/>
  <c r="Z74" i="1" s="1"/>
  <c r="S74" i="1"/>
  <c r="T74" i="1" s="1"/>
  <c r="R74" i="1"/>
  <c r="U74" i="1" s="1"/>
  <c r="V74" i="1" s="1"/>
  <c r="W74" i="1" s="1"/>
  <c r="P74" i="1"/>
  <c r="Q74" i="1" s="1"/>
  <c r="M74" i="1"/>
  <c r="N74" i="1" s="1"/>
  <c r="K74" i="1"/>
  <c r="J74" i="1"/>
  <c r="H74" i="1"/>
  <c r="E74" i="1"/>
  <c r="F74" i="1" s="1"/>
  <c r="AE73" i="1"/>
  <c r="AB73" i="1"/>
  <c r="AC73" i="1" s="1"/>
  <c r="Z73" i="1"/>
  <c r="Y73" i="1"/>
  <c r="U73" i="1"/>
  <c r="V73" i="1" s="1"/>
  <c r="W73" i="1" s="1"/>
  <c r="T73" i="1"/>
  <c r="S73" i="1"/>
  <c r="R73" i="1"/>
  <c r="P73" i="1"/>
  <c r="Q73" i="1" s="1"/>
  <c r="M73" i="1"/>
  <c r="J73" i="1"/>
  <c r="H73" i="1"/>
  <c r="K73" i="1" s="1"/>
  <c r="F73" i="1"/>
  <c r="E73" i="1"/>
  <c r="AE72" i="1"/>
  <c r="AF72" i="1" s="1"/>
  <c r="AC72" i="1"/>
  <c r="AB72" i="1"/>
  <c r="Y72" i="1"/>
  <c r="Z72" i="1" s="1"/>
  <c r="R72" i="1"/>
  <c r="U72" i="1" s="1"/>
  <c r="V72" i="1" s="1"/>
  <c r="W72" i="1" s="1"/>
  <c r="P72" i="1"/>
  <c r="Q72" i="1" s="1"/>
  <c r="N72" i="1"/>
  <c r="M72" i="1"/>
  <c r="J72" i="1"/>
  <c r="K72" i="1" s="1"/>
  <c r="H72" i="1"/>
  <c r="F72" i="1"/>
  <c r="E72" i="1"/>
  <c r="AE71" i="1"/>
  <c r="AF71" i="1" s="1"/>
  <c r="AB71" i="1"/>
  <c r="AC71" i="1" s="1"/>
  <c r="Y71" i="1"/>
  <c r="Z71" i="1" s="1"/>
  <c r="U71" i="1"/>
  <c r="V71" i="1" s="1"/>
  <c r="W71" i="1" s="1"/>
  <c r="T71" i="1"/>
  <c r="S71" i="1"/>
  <c r="R71" i="1"/>
  <c r="Q71" i="1"/>
  <c r="P71" i="1"/>
  <c r="M71" i="1"/>
  <c r="N71" i="1" s="1"/>
  <c r="K71" i="1"/>
  <c r="J71" i="1"/>
  <c r="H71" i="1"/>
  <c r="E71" i="1"/>
  <c r="F71" i="1" s="1"/>
  <c r="AE70" i="1"/>
  <c r="AF70" i="1" s="1"/>
  <c r="AC70" i="1"/>
  <c r="AB70" i="1"/>
  <c r="Y70" i="1"/>
  <c r="Z70" i="1" s="1"/>
  <c r="U70" i="1"/>
  <c r="V70" i="1" s="1"/>
  <c r="W70" i="1" s="1"/>
  <c r="T70" i="1"/>
  <c r="S70" i="1"/>
  <c r="R70" i="1"/>
  <c r="P70" i="1"/>
  <c r="Q70" i="1" s="1"/>
  <c r="M70" i="1"/>
  <c r="N70" i="1" s="1"/>
  <c r="J70" i="1"/>
  <c r="K70" i="1" s="1"/>
  <c r="H70" i="1"/>
  <c r="F70" i="1"/>
  <c r="E70" i="1"/>
  <c r="AE69" i="1"/>
  <c r="AF69" i="1" s="1"/>
  <c r="AC69" i="1"/>
  <c r="AB69" i="1"/>
  <c r="Y69" i="1"/>
  <c r="U69" i="1"/>
  <c r="V69" i="1" s="1"/>
  <c r="W69" i="1" s="1"/>
  <c r="S69" i="1"/>
  <c r="T69" i="1" s="1"/>
  <c r="R69" i="1"/>
  <c r="P69" i="1"/>
  <c r="M69" i="1"/>
  <c r="N69" i="1" s="1"/>
  <c r="K69" i="1"/>
  <c r="J69" i="1"/>
  <c r="H69" i="1"/>
  <c r="Z69" i="1" s="1"/>
  <c r="E69" i="1"/>
  <c r="F69" i="1" s="1"/>
  <c r="AE68" i="1"/>
  <c r="AF68" i="1" s="1"/>
  <c r="AB68" i="1"/>
  <c r="AC68" i="1" s="1"/>
  <c r="Y68" i="1"/>
  <c r="Z68" i="1" s="1"/>
  <c r="U68" i="1"/>
  <c r="V68" i="1" s="1"/>
  <c r="W68" i="1" s="1"/>
  <c r="S68" i="1"/>
  <c r="T68" i="1" s="1"/>
  <c r="R68" i="1"/>
  <c r="Q68" i="1"/>
  <c r="P68" i="1"/>
  <c r="M68" i="1"/>
  <c r="N68" i="1" s="1"/>
  <c r="K68" i="1"/>
  <c r="J68" i="1"/>
  <c r="H68" i="1"/>
  <c r="F68" i="1"/>
  <c r="E68" i="1"/>
  <c r="AE67" i="1"/>
  <c r="AF67" i="1" s="1"/>
  <c r="AB67" i="1"/>
  <c r="AC67" i="1" s="1"/>
  <c r="Z67" i="1"/>
  <c r="Y67" i="1"/>
  <c r="R67" i="1"/>
  <c r="Q67" i="1"/>
  <c r="P67" i="1"/>
  <c r="M67" i="1"/>
  <c r="N67" i="1" s="1"/>
  <c r="K67" i="1"/>
  <c r="J67" i="1"/>
  <c r="H67" i="1"/>
  <c r="F67" i="1"/>
  <c r="E67" i="1"/>
  <c r="AE66" i="1"/>
  <c r="AF66" i="1" s="1"/>
  <c r="AB66" i="1"/>
  <c r="Y66" i="1"/>
  <c r="Z66" i="1" s="1"/>
  <c r="U66" i="1"/>
  <c r="V66" i="1" s="1"/>
  <c r="W66" i="1" s="1"/>
  <c r="R66" i="1"/>
  <c r="S66" i="1" s="1"/>
  <c r="T66" i="1" s="1"/>
  <c r="P66" i="1"/>
  <c r="M66" i="1"/>
  <c r="N66" i="1" s="1"/>
  <c r="J66" i="1"/>
  <c r="H66" i="1"/>
  <c r="F66" i="1"/>
  <c r="E66" i="1"/>
  <c r="AE65" i="1"/>
  <c r="AF65" i="1" s="1"/>
  <c r="AB65" i="1"/>
  <c r="AC65" i="1" s="1"/>
  <c r="Z65" i="1"/>
  <c r="Y65" i="1"/>
  <c r="R65" i="1"/>
  <c r="Q65" i="1"/>
  <c r="P65" i="1"/>
  <c r="M65" i="1"/>
  <c r="N65" i="1" s="1"/>
  <c r="K65" i="1"/>
  <c r="J65" i="1"/>
  <c r="H65" i="1"/>
  <c r="F65" i="1"/>
  <c r="E65" i="1"/>
  <c r="AE64" i="1"/>
  <c r="AF64" i="1" s="1"/>
  <c r="AB64" i="1"/>
  <c r="Y64" i="1"/>
  <c r="Z64" i="1" s="1"/>
  <c r="R64" i="1"/>
  <c r="S64" i="1" s="1"/>
  <c r="T64" i="1" s="1"/>
  <c r="P64" i="1"/>
  <c r="M64" i="1"/>
  <c r="N64" i="1" s="1"/>
  <c r="J64" i="1"/>
  <c r="H64" i="1"/>
  <c r="F64" i="1"/>
  <c r="E64" i="1"/>
  <c r="AE63" i="1"/>
  <c r="AF63" i="1" s="1"/>
  <c r="AB63" i="1"/>
  <c r="AC63" i="1" s="1"/>
  <c r="Z63" i="1"/>
  <c r="Y63" i="1"/>
  <c r="R63" i="1"/>
  <c r="Q63" i="1"/>
  <c r="P63" i="1"/>
  <c r="M63" i="1"/>
  <c r="N63" i="1" s="1"/>
  <c r="J63" i="1"/>
  <c r="K63" i="1" s="1"/>
  <c r="H63" i="1"/>
  <c r="F63" i="1"/>
  <c r="E63" i="1"/>
  <c r="AE62" i="1"/>
  <c r="AB62" i="1"/>
  <c r="Y62" i="1"/>
  <c r="R62" i="1"/>
  <c r="U62" i="1" s="1"/>
  <c r="V62" i="1" s="1"/>
  <c r="P62" i="1"/>
  <c r="M62" i="1"/>
  <c r="J62" i="1"/>
  <c r="H62" i="1"/>
  <c r="F62" i="1"/>
  <c r="E62" i="1"/>
  <c r="AE61" i="1"/>
  <c r="AF61" i="1" s="1"/>
  <c r="AC61" i="1"/>
  <c r="AB61" i="1"/>
  <c r="Z61" i="1"/>
  <c r="Y61" i="1"/>
  <c r="R61" i="1"/>
  <c r="P61" i="1"/>
  <c r="M61" i="1"/>
  <c r="J61" i="1"/>
  <c r="K61" i="1" s="1"/>
  <c r="H61" i="1"/>
  <c r="Q61" i="1" s="1"/>
  <c r="F61" i="1"/>
  <c r="E61" i="1"/>
  <c r="AE60" i="1"/>
  <c r="AB60" i="1"/>
  <c r="Y60" i="1"/>
  <c r="U60" i="1"/>
  <c r="V60" i="1" s="1"/>
  <c r="R60" i="1"/>
  <c r="S60" i="1" s="1"/>
  <c r="P60" i="1"/>
  <c r="M60" i="1"/>
  <c r="J60" i="1"/>
  <c r="H60" i="1"/>
  <c r="F60" i="1"/>
  <c r="E60" i="1"/>
  <c r="AE59" i="1"/>
  <c r="AF59" i="1" s="1"/>
  <c r="AB59" i="1"/>
  <c r="AC59" i="1" s="1"/>
  <c r="Z59" i="1"/>
  <c r="Y59" i="1"/>
  <c r="U59" i="1"/>
  <c r="V59" i="1" s="1"/>
  <c r="S59" i="1"/>
  <c r="Q59" i="1"/>
  <c r="P59" i="1"/>
  <c r="M59" i="1"/>
  <c r="J59" i="1"/>
  <c r="K59" i="1" s="1"/>
  <c r="H59" i="1"/>
  <c r="N59" i="1" s="1"/>
  <c r="F59" i="1"/>
  <c r="E59" i="1"/>
  <c r="AE58" i="1"/>
  <c r="AB58" i="1"/>
  <c r="Y58" i="1"/>
  <c r="V58" i="1"/>
  <c r="U58" i="1"/>
  <c r="S58" i="1"/>
  <c r="P58" i="1"/>
  <c r="M58" i="1"/>
  <c r="J58" i="1"/>
  <c r="H58" i="1"/>
  <c r="W58" i="1" s="1"/>
  <c r="E58" i="1"/>
  <c r="F58" i="1" s="1"/>
  <c r="AF57" i="1"/>
  <c r="AE57" i="1"/>
  <c r="AB57" i="1"/>
  <c r="Y57" i="1"/>
  <c r="V57" i="1"/>
  <c r="U57" i="1"/>
  <c r="S57" i="1"/>
  <c r="P57" i="1"/>
  <c r="M57" i="1"/>
  <c r="J57" i="1"/>
  <c r="H57" i="1"/>
  <c r="K57" i="1" s="1"/>
  <c r="E57" i="1"/>
  <c r="F57" i="1" s="1"/>
  <c r="AE56" i="1"/>
  <c r="AF56" i="1" s="1"/>
  <c r="AB56" i="1"/>
  <c r="AC56" i="1" s="1"/>
  <c r="Y56" i="1"/>
  <c r="Z56" i="1" s="1"/>
  <c r="R56" i="1"/>
  <c r="S56" i="1" s="1"/>
  <c r="T56" i="1" s="1"/>
  <c r="P56" i="1"/>
  <c r="Q56" i="1" s="1"/>
  <c r="N56" i="1"/>
  <c r="M56" i="1"/>
  <c r="J56" i="1"/>
  <c r="K56" i="1" s="1"/>
  <c r="H56" i="1"/>
  <c r="F56" i="1"/>
  <c r="E56" i="1"/>
  <c r="AE55" i="1"/>
  <c r="AF55" i="1" s="1"/>
  <c r="AB55" i="1"/>
  <c r="Y55" i="1"/>
  <c r="Z55" i="1" s="1"/>
  <c r="U55" i="1"/>
  <c r="V55" i="1" s="1"/>
  <c r="W55" i="1" s="1"/>
  <c r="R55" i="1"/>
  <c r="S55" i="1" s="1"/>
  <c r="T55" i="1" s="1"/>
  <c r="Q55" i="1"/>
  <c r="P55" i="1"/>
  <c r="M55" i="1"/>
  <c r="N55" i="1" s="1"/>
  <c r="J55" i="1"/>
  <c r="H55" i="1"/>
  <c r="F55" i="1"/>
  <c r="E55" i="1"/>
  <c r="AE54" i="1"/>
  <c r="AF54" i="1" s="1"/>
  <c r="AB54" i="1"/>
  <c r="AC54" i="1" s="1"/>
  <c r="Y54" i="1"/>
  <c r="Z54" i="1" s="1"/>
  <c r="U54" i="1"/>
  <c r="V54" i="1" s="1"/>
  <c r="W54" i="1" s="1"/>
  <c r="R54" i="1"/>
  <c r="S54" i="1" s="1"/>
  <c r="T54" i="1" s="1"/>
  <c r="Q54" i="1"/>
  <c r="P54" i="1"/>
  <c r="M54" i="1"/>
  <c r="N54" i="1" s="1"/>
  <c r="J54" i="1"/>
  <c r="K54" i="1" s="1"/>
  <c r="H54" i="1"/>
  <c r="F54" i="1"/>
  <c r="E54" i="1"/>
  <c r="AE53" i="1"/>
  <c r="AF53" i="1" s="1"/>
  <c r="AC53" i="1"/>
  <c r="AB53" i="1"/>
  <c r="Y53" i="1"/>
  <c r="Z53" i="1" s="1"/>
  <c r="U53" i="1"/>
  <c r="V53" i="1" s="1"/>
  <c r="W53" i="1" s="1"/>
  <c r="S53" i="1"/>
  <c r="T53" i="1" s="1"/>
  <c r="P53" i="1"/>
  <c r="Q53" i="1" s="1"/>
  <c r="M53" i="1"/>
  <c r="N53" i="1" s="1"/>
  <c r="K53" i="1"/>
  <c r="J53" i="1"/>
  <c r="H53" i="1"/>
  <c r="F53" i="1"/>
  <c r="E53" i="1"/>
  <c r="AE52" i="1"/>
  <c r="AF52" i="1" s="1"/>
  <c r="AC52" i="1"/>
  <c r="AB52" i="1"/>
  <c r="Y52" i="1"/>
  <c r="Z52" i="1" s="1"/>
  <c r="U52" i="1"/>
  <c r="V52" i="1" s="1"/>
  <c r="W52" i="1" s="1"/>
  <c r="T52" i="1"/>
  <c r="S52" i="1"/>
  <c r="R52" i="1"/>
  <c r="P52" i="1"/>
  <c r="Q52" i="1" s="1"/>
  <c r="N52" i="1"/>
  <c r="M52" i="1"/>
  <c r="K52" i="1"/>
  <c r="J52" i="1"/>
  <c r="H52" i="1"/>
  <c r="E52" i="1"/>
  <c r="F52" i="1" s="1"/>
  <c r="AE51" i="1"/>
  <c r="AF51" i="1" s="1"/>
  <c r="AC51" i="1"/>
  <c r="AB51" i="1"/>
  <c r="Y51" i="1"/>
  <c r="Z51" i="1" s="1"/>
  <c r="W51" i="1"/>
  <c r="U51" i="1"/>
  <c r="V51" i="1" s="1"/>
  <c r="T51" i="1"/>
  <c r="S51" i="1"/>
  <c r="P51" i="1"/>
  <c r="Q51" i="1" s="1"/>
  <c r="N51" i="1"/>
  <c r="M51" i="1"/>
  <c r="J51" i="1"/>
  <c r="K51" i="1" s="1"/>
  <c r="H51" i="1"/>
  <c r="E51" i="1"/>
  <c r="F51" i="1" s="1"/>
  <c r="AE50" i="1"/>
  <c r="AF50" i="1" s="1"/>
  <c r="AC50" i="1"/>
  <c r="AB50" i="1"/>
  <c r="Y50" i="1"/>
  <c r="Z50" i="1" s="1"/>
  <c r="V50" i="1"/>
  <c r="W50" i="1" s="1"/>
  <c r="T50" i="1"/>
  <c r="S50" i="1"/>
  <c r="R50" i="1"/>
  <c r="U50" i="1" s="1"/>
  <c r="P50" i="1"/>
  <c r="Q50" i="1" s="1"/>
  <c r="M50" i="1"/>
  <c r="N50" i="1" s="1"/>
  <c r="J50" i="1"/>
  <c r="K50" i="1" s="1"/>
  <c r="H50" i="1"/>
  <c r="E50" i="1"/>
  <c r="F50" i="1" s="1"/>
  <c r="AF49" i="1"/>
  <c r="AE49" i="1"/>
  <c r="AB49" i="1"/>
  <c r="AC49" i="1" s="1"/>
  <c r="Y49" i="1"/>
  <c r="U49" i="1"/>
  <c r="V49" i="1" s="1"/>
  <c r="W49" i="1" s="1"/>
  <c r="T49" i="1"/>
  <c r="S49" i="1"/>
  <c r="P49" i="1"/>
  <c r="M49" i="1"/>
  <c r="J49" i="1"/>
  <c r="H49" i="1"/>
  <c r="Z49" i="1" s="1"/>
  <c r="F49" i="1"/>
  <c r="E49" i="1"/>
  <c r="AE48" i="1"/>
  <c r="AF48" i="1" s="1"/>
  <c r="AC48" i="1"/>
  <c r="AB48" i="1"/>
  <c r="Y48" i="1"/>
  <c r="U48" i="1"/>
  <c r="V48" i="1" s="1"/>
  <c r="W48" i="1" s="1"/>
  <c r="S48" i="1"/>
  <c r="T48" i="1" s="1"/>
  <c r="R48" i="1"/>
  <c r="P48" i="1"/>
  <c r="M48" i="1"/>
  <c r="N48" i="1" s="1"/>
  <c r="K48" i="1"/>
  <c r="J48" i="1"/>
  <c r="H48" i="1"/>
  <c r="Q48" i="1" s="1"/>
  <c r="E48" i="1"/>
  <c r="F48" i="1" s="1"/>
  <c r="AE47" i="1"/>
  <c r="AF47" i="1" s="1"/>
  <c r="AB47" i="1"/>
  <c r="Y47" i="1"/>
  <c r="V47" i="1"/>
  <c r="W47" i="1" s="1"/>
  <c r="U47" i="1"/>
  <c r="R47" i="1"/>
  <c r="S47" i="1" s="1"/>
  <c r="T47" i="1" s="1"/>
  <c r="P47" i="1"/>
  <c r="M47" i="1"/>
  <c r="N47" i="1" s="1"/>
  <c r="J47" i="1"/>
  <c r="H47" i="1"/>
  <c r="Z47" i="1" s="1"/>
  <c r="F47" i="1"/>
  <c r="E47" i="1"/>
  <c r="AE46" i="1"/>
  <c r="AF46" i="1" s="1"/>
  <c r="AB46" i="1"/>
  <c r="AC46" i="1" s="1"/>
  <c r="Z46" i="1"/>
  <c r="Y46" i="1"/>
  <c r="R46" i="1"/>
  <c r="U46" i="1" s="1"/>
  <c r="V46" i="1" s="1"/>
  <c r="W46" i="1" s="1"/>
  <c r="P46" i="1"/>
  <c r="M46" i="1"/>
  <c r="N46" i="1" s="1"/>
  <c r="J46" i="1"/>
  <c r="K46" i="1" s="1"/>
  <c r="H46" i="1"/>
  <c r="Q46" i="1" s="1"/>
  <c r="E46" i="1"/>
  <c r="F46" i="1" s="1"/>
  <c r="AE45" i="1"/>
  <c r="AF45" i="1" s="1"/>
  <c r="AB45" i="1"/>
  <c r="AC45" i="1" s="1"/>
  <c r="Z45" i="1"/>
  <c r="Y45" i="1"/>
  <c r="S45" i="1"/>
  <c r="T45" i="1" s="1"/>
  <c r="R45" i="1"/>
  <c r="U45" i="1" s="1"/>
  <c r="V45" i="1" s="1"/>
  <c r="W45" i="1" s="1"/>
  <c r="P45" i="1"/>
  <c r="Q45" i="1" s="1"/>
  <c r="M45" i="1"/>
  <c r="N45" i="1" s="1"/>
  <c r="J45" i="1"/>
  <c r="K45" i="1" s="1"/>
  <c r="H45" i="1"/>
  <c r="F45" i="1"/>
  <c r="E45" i="1"/>
  <c r="AE44" i="1"/>
  <c r="AF44" i="1" s="1"/>
  <c r="AB44" i="1"/>
  <c r="AC44" i="1" s="1"/>
  <c r="Y44" i="1"/>
  <c r="U44" i="1"/>
  <c r="V44" i="1" s="1"/>
  <c r="W44" i="1" s="1"/>
  <c r="R44" i="1"/>
  <c r="S44" i="1" s="1"/>
  <c r="T44" i="1" s="1"/>
  <c r="P44" i="1"/>
  <c r="N44" i="1"/>
  <c r="M44" i="1"/>
  <c r="J44" i="1"/>
  <c r="K44" i="1" s="1"/>
  <c r="H44" i="1"/>
  <c r="E44" i="1"/>
  <c r="F44" i="1" s="1"/>
  <c r="AE43" i="1"/>
  <c r="AB43" i="1"/>
  <c r="Y43" i="1"/>
  <c r="R43" i="1"/>
  <c r="U43" i="1" s="1"/>
  <c r="V43" i="1" s="1"/>
  <c r="W43" i="1" s="1"/>
  <c r="P43" i="1"/>
  <c r="M43" i="1"/>
  <c r="J43" i="1"/>
  <c r="H43" i="1"/>
  <c r="Z43" i="1" s="1"/>
  <c r="F43" i="1"/>
  <c r="E43" i="1"/>
  <c r="AE42" i="1"/>
  <c r="AF42" i="1" s="1"/>
  <c r="AB42" i="1"/>
  <c r="AC42" i="1" s="1"/>
  <c r="Z42" i="1"/>
  <c r="Y42" i="1"/>
  <c r="U42" i="1"/>
  <c r="V42" i="1" s="1"/>
  <c r="W42" i="1" s="1"/>
  <c r="S42" i="1"/>
  <c r="T42" i="1" s="1"/>
  <c r="R42" i="1"/>
  <c r="P42" i="1"/>
  <c r="M42" i="1"/>
  <c r="N42" i="1" s="1"/>
  <c r="K42" i="1"/>
  <c r="J42" i="1"/>
  <c r="H42" i="1"/>
  <c r="Q42" i="1" s="1"/>
  <c r="E42" i="1"/>
  <c r="F42" i="1" s="1"/>
  <c r="AE41" i="1"/>
  <c r="AF41" i="1" s="1"/>
  <c r="AB41" i="1"/>
  <c r="AC41" i="1" s="1"/>
  <c r="Z41" i="1"/>
  <c r="Y41" i="1"/>
  <c r="U41" i="1"/>
  <c r="V41" i="1" s="1"/>
  <c r="W41" i="1" s="1"/>
  <c r="R41" i="1"/>
  <c r="S41" i="1" s="1"/>
  <c r="T41" i="1" s="1"/>
  <c r="P41" i="1"/>
  <c r="Q41" i="1" s="1"/>
  <c r="M41" i="1"/>
  <c r="N41" i="1" s="1"/>
  <c r="J41" i="1"/>
  <c r="H41" i="1"/>
  <c r="F41" i="1"/>
  <c r="E41" i="1"/>
  <c r="AF40" i="1"/>
  <c r="AE40" i="1"/>
  <c r="AB40" i="1"/>
  <c r="Y40" i="1"/>
  <c r="R40" i="1"/>
  <c r="U40" i="1" s="1"/>
  <c r="V40" i="1" s="1"/>
  <c r="P40" i="1"/>
  <c r="M40" i="1"/>
  <c r="J40" i="1"/>
  <c r="H40" i="1"/>
  <c r="Q40" i="1" s="1"/>
  <c r="E40" i="1"/>
  <c r="F40" i="1" s="1"/>
  <c r="AE39" i="1"/>
  <c r="AB39" i="1"/>
  <c r="AC39" i="1" s="1"/>
  <c r="Z39" i="1"/>
  <c r="Y39" i="1"/>
  <c r="U39" i="1"/>
  <c r="V39" i="1" s="1"/>
  <c r="S39" i="1"/>
  <c r="T39" i="1" s="1"/>
  <c r="R39" i="1"/>
  <c r="P39" i="1"/>
  <c r="M39" i="1"/>
  <c r="J39" i="1"/>
  <c r="H39" i="1"/>
  <c r="F39" i="1"/>
  <c r="E39" i="1"/>
  <c r="AE38" i="1"/>
  <c r="AF38" i="1" s="1"/>
  <c r="AB38" i="1"/>
  <c r="AC38" i="1" s="1"/>
  <c r="Y38" i="1"/>
  <c r="U38" i="1"/>
  <c r="V38" i="1" s="1"/>
  <c r="R38" i="1"/>
  <c r="S38" i="1" s="1"/>
  <c r="P38" i="1"/>
  <c r="M38" i="1"/>
  <c r="J38" i="1"/>
  <c r="H38" i="1"/>
  <c r="Q38" i="1" s="1"/>
  <c r="E38" i="1"/>
  <c r="F38" i="1" s="1"/>
  <c r="AE37" i="1"/>
  <c r="AB37" i="1"/>
  <c r="Z37" i="1"/>
  <c r="Y37" i="1"/>
  <c r="V37" i="1"/>
  <c r="W37" i="1" s="1"/>
  <c r="U37" i="1"/>
  <c r="S37" i="1"/>
  <c r="P37" i="1"/>
  <c r="M37" i="1"/>
  <c r="J37" i="1"/>
  <c r="H37" i="1"/>
  <c r="F37" i="1"/>
  <c r="E37" i="1"/>
  <c r="AE36" i="1"/>
  <c r="AF36" i="1" s="1"/>
  <c r="AB36" i="1"/>
  <c r="AC36" i="1" s="1"/>
  <c r="Y36" i="1"/>
  <c r="Z36" i="1" s="1"/>
  <c r="R36" i="1"/>
  <c r="Q36" i="1"/>
  <c r="P36" i="1"/>
  <c r="M36" i="1"/>
  <c r="N36" i="1" s="1"/>
  <c r="J36" i="1"/>
  <c r="K36" i="1" s="1"/>
  <c r="H36" i="1"/>
  <c r="F36" i="1"/>
  <c r="E36" i="1"/>
  <c r="AE35" i="1"/>
  <c r="AF35" i="1" s="1"/>
  <c r="AC35" i="1"/>
  <c r="AB35" i="1"/>
  <c r="Y35" i="1"/>
  <c r="Z35" i="1" s="1"/>
  <c r="U35" i="1"/>
  <c r="V35" i="1" s="1"/>
  <c r="W35" i="1" s="1"/>
  <c r="T35" i="1"/>
  <c r="S35" i="1"/>
  <c r="P35" i="1"/>
  <c r="Q35" i="1" s="1"/>
  <c r="M35" i="1"/>
  <c r="N35" i="1" s="1"/>
  <c r="J35" i="1"/>
  <c r="K35" i="1" s="1"/>
  <c r="H35" i="1"/>
  <c r="E35" i="1"/>
  <c r="F35" i="1" s="1"/>
  <c r="AE34" i="1"/>
  <c r="AB34" i="1"/>
  <c r="AC34" i="1" s="1"/>
  <c r="Y34" i="1"/>
  <c r="Z34" i="1" s="1"/>
  <c r="W34" i="1"/>
  <c r="U34" i="1"/>
  <c r="V34" i="1" s="1"/>
  <c r="S34" i="1"/>
  <c r="R34" i="1"/>
  <c r="Q34" i="1"/>
  <c r="P34" i="1"/>
  <c r="M34" i="1"/>
  <c r="J34" i="1"/>
  <c r="K34" i="1" s="1"/>
  <c r="H34" i="1"/>
  <c r="E34" i="1"/>
  <c r="F34" i="1" s="1"/>
  <c r="AE33" i="1"/>
  <c r="AF33" i="1" s="1"/>
  <c r="AB33" i="1"/>
  <c r="AC33" i="1" s="1"/>
  <c r="Y33" i="1"/>
  <c r="Z33" i="1" s="1"/>
  <c r="R33" i="1"/>
  <c r="U33" i="1" s="1"/>
  <c r="V33" i="1" s="1"/>
  <c r="W33" i="1" s="1"/>
  <c r="P33" i="1"/>
  <c r="Q33" i="1" s="1"/>
  <c r="M33" i="1"/>
  <c r="N33" i="1" s="1"/>
  <c r="J33" i="1"/>
  <c r="K33" i="1" s="1"/>
  <c r="H33" i="1"/>
  <c r="E33" i="1"/>
  <c r="F33" i="1" s="1"/>
  <c r="AE32" i="1"/>
  <c r="AB32" i="1"/>
  <c r="AC32" i="1" s="1"/>
  <c r="Y32" i="1"/>
  <c r="Z32" i="1" s="1"/>
  <c r="W32" i="1"/>
  <c r="U32" i="1"/>
  <c r="V32" i="1" s="1"/>
  <c r="S32" i="1"/>
  <c r="T32" i="1" s="1"/>
  <c r="R32" i="1"/>
  <c r="P32" i="1"/>
  <c r="Q32" i="1" s="1"/>
  <c r="M32" i="1"/>
  <c r="J32" i="1"/>
  <c r="K32" i="1" s="1"/>
  <c r="H32" i="1"/>
  <c r="E32" i="1"/>
  <c r="F32" i="1" s="1"/>
  <c r="AE31" i="1"/>
  <c r="AF31" i="1" s="1"/>
  <c r="AB31" i="1"/>
  <c r="AC31" i="1" s="1"/>
  <c r="Y31" i="1"/>
  <c r="Z31" i="1" s="1"/>
  <c r="R31" i="1"/>
  <c r="P31" i="1"/>
  <c r="Q31" i="1" s="1"/>
  <c r="M31" i="1"/>
  <c r="N31" i="1" s="1"/>
  <c r="J31" i="1"/>
  <c r="K31" i="1" s="1"/>
  <c r="H31" i="1"/>
  <c r="E31" i="1"/>
  <c r="F31" i="1" s="1"/>
  <c r="AE30" i="1"/>
  <c r="AB30" i="1"/>
  <c r="AC30" i="1" s="1"/>
  <c r="Z30" i="1"/>
  <c r="Y30" i="1"/>
  <c r="U30" i="1"/>
  <c r="V30" i="1" s="1"/>
  <c r="W30" i="1" s="1"/>
  <c r="S30" i="1"/>
  <c r="T30" i="1" s="1"/>
  <c r="R30" i="1"/>
  <c r="P30" i="1"/>
  <c r="Q30" i="1" s="1"/>
  <c r="M30" i="1"/>
  <c r="J30" i="1"/>
  <c r="K30" i="1" s="1"/>
  <c r="H30" i="1"/>
  <c r="E30" i="1"/>
  <c r="F30" i="1" s="1"/>
  <c r="AE29" i="1"/>
  <c r="AF29" i="1" s="1"/>
  <c r="AB29" i="1"/>
  <c r="AC29" i="1" s="1"/>
  <c r="Y29" i="1"/>
  <c r="Z29" i="1" s="1"/>
  <c r="W29" i="1"/>
  <c r="S29" i="1"/>
  <c r="T29" i="1" s="1"/>
  <c r="R29" i="1"/>
  <c r="U29" i="1" s="1"/>
  <c r="V29" i="1" s="1"/>
  <c r="P29" i="1"/>
  <c r="Q29" i="1" s="1"/>
  <c r="M29" i="1"/>
  <c r="N29" i="1" s="1"/>
  <c r="J29" i="1"/>
  <c r="K29" i="1" s="1"/>
  <c r="H29" i="1"/>
  <c r="E29" i="1"/>
  <c r="F29" i="1" s="1"/>
  <c r="AE28" i="1"/>
  <c r="AB28" i="1"/>
  <c r="AC28" i="1" s="1"/>
  <c r="Y28" i="1"/>
  <c r="Z28" i="1" s="1"/>
  <c r="W28" i="1"/>
  <c r="S28" i="1"/>
  <c r="R28" i="1"/>
  <c r="U28" i="1" s="1"/>
  <c r="V28" i="1" s="1"/>
  <c r="P28" i="1"/>
  <c r="M28" i="1"/>
  <c r="J28" i="1"/>
  <c r="K28" i="1" s="1"/>
  <c r="H28" i="1"/>
  <c r="F28" i="1"/>
  <c r="E28" i="1"/>
  <c r="AE27" i="1"/>
  <c r="AF27" i="1" s="1"/>
  <c r="AB27" i="1"/>
  <c r="AC27" i="1" s="1"/>
  <c r="Y27" i="1"/>
  <c r="Z27" i="1" s="1"/>
  <c r="R27" i="1"/>
  <c r="U27" i="1" s="1"/>
  <c r="V27" i="1" s="1"/>
  <c r="W27" i="1" s="1"/>
  <c r="Q27" i="1"/>
  <c r="P27" i="1"/>
  <c r="M27" i="1"/>
  <c r="N27" i="1" s="1"/>
  <c r="J27" i="1"/>
  <c r="K27" i="1" s="1"/>
  <c r="H27" i="1"/>
  <c r="E27" i="1"/>
  <c r="F27" i="1" s="1"/>
  <c r="AE26" i="1"/>
  <c r="AC26" i="1"/>
  <c r="AB26" i="1"/>
  <c r="Y26" i="1"/>
  <c r="Z26" i="1" s="1"/>
  <c r="U26" i="1"/>
  <c r="V26" i="1" s="1"/>
  <c r="W26" i="1" s="1"/>
  <c r="S26" i="1"/>
  <c r="R26" i="1"/>
  <c r="P26" i="1"/>
  <c r="Q26" i="1" s="1"/>
  <c r="M26" i="1"/>
  <c r="J26" i="1"/>
  <c r="H26" i="1"/>
  <c r="N26" i="1" s="1"/>
  <c r="E26" i="1"/>
  <c r="F26" i="1" s="1"/>
  <c r="AE25" i="1"/>
  <c r="AF25" i="1" s="1"/>
  <c r="AB25" i="1"/>
  <c r="AC25" i="1" s="1"/>
  <c r="Y25" i="1"/>
  <c r="Z25" i="1" s="1"/>
  <c r="V25" i="1"/>
  <c r="W25" i="1" s="1"/>
  <c r="S25" i="1"/>
  <c r="T25" i="1" s="1"/>
  <c r="R25" i="1"/>
  <c r="U25" i="1" s="1"/>
  <c r="P25" i="1"/>
  <c r="Q25" i="1" s="1"/>
  <c r="M25" i="1"/>
  <c r="N25" i="1" s="1"/>
  <c r="J25" i="1"/>
  <c r="K25" i="1" s="1"/>
  <c r="H25" i="1"/>
  <c r="E25" i="1"/>
  <c r="F25" i="1" s="1"/>
  <c r="AE24" i="1"/>
  <c r="AB24" i="1"/>
  <c r="AC24" i="1" s="1"/>
  <c r="Z24" i="1"/>
  <c r="Y24" i="1"/>
  <c r="R24" i="1"/>
  <c r="U24" i="1" s="1"/>
  <c r="V24" i="1" s="1"/>
  <c r="W24" i="1" s="1"/>
  <c r="P24" i="1"/>
  <c r="Q24" i="1" s="1"/>
  <c r="M24" i="1"/>
  <c r="N24" i="1" s="1"/>
  <c r="K24" i="1"/>
  <c r="J24" i="1"/>
  <c r="H24" i="1"/>
  <c r="AF24" i="1" s="1"/>
  <c r="F24" i="1"/>
  <c r="E24" i="1"/>
  <c r="AE23" i="1"/>
  <c r="AF23" i="1" s="1"/>
  <c r="AB23" i="1"/>
  <c r="AC23" i="1" s="1"/>
  <c r="Z23" i="1"/>
  <c r="Y23" i="1"/>
  <c r="R23" i="1"/>
  <c r="U23" i="1" s="1"/>
  <c r="V23" i="1" s="1"/>
  <c r="W23" i="1" s="1"/>
  <c r="P23" i="1"/>
  <c r="Q23" i="1" s="1"/>
  <c r="M23" i="1"/>
  <c r="N23" i="1" s="1"/>
  <c r="K23" i="1"/>
  <c r="J23" i="1"/>
  <c r="H23" i="1"/>
  <c r="E23" i="1"/>
  <c r="F23" i="1" s="1"/>
  <c r="AE22" i="1"/>
  <c r="AF22" i="1" s="1"/>
  <c r="AC22" i="1"/>
  <c r="AB22" i="1"/>
  <c r="Y22" i="1"/>
  <c r="Z22" i="1" s="1"/>
  <c r="R22" i="1"/>
  <c r="U22" i="1" s="1"/>
  <c r="V22" i="1" s="1"/>
  <c r="W22" i="1" s="1"/>
  <c r="P22" i="1"/>
  <c r="Q22" i="1" s="1"/>
  <c r="M22" i="1"/>
  <c r="N22" i="1" s="1"/>
  <c r="K22" i="1"/>
  <c r="J22" i="1"/>
  <c r="H22" i="1"/>
  <c r="E22" i="1"/>
  <c r="F22" i="1" s="1"/>
  <c r="AE21" i="1"/>
  <c r="AF21" i="1" s="1"/>
  <c r="AC21" i="1"/>
  <c r="AB21" i="1"/>
  <c r="Z21" i="1"/>
  <c r="Y21" i="1"/>
  <c r="R21" i="1"/>
  <c r="P21" i="1"/>
  <c r="Q21" i="1" s="1"/>
  <c r="M21" i="1"/>
  <c r="N21" i="1" s="1"/>
  <c r="J21" i="1"/>
  <c r="K21" i="1" s="1"/>
  <c r="H21" i="1"/>
  <c r="E21" i="1"/>
  <c r="F21" i="1" s="1"/>
  <c r="AE20" i="1"/>
  <c r="AC20" i="1"/>
  <c r="AB20" i="1"/>
  <c r="Y20" i="1"/>
  <c r="Z20" i="1" s="1"/>
  <c r="R20" i="1"/>
  <c r="U20" i="1" s="1"/>
  <c r="V20" i="1" s="1"/>
  <c r="W20" i="1" s="1"/>
  <c r="P20" i="1"/>
  <c r="Q20" i="1" s="1"/>
  <c r="M20" i="1"/>
  <c r="J20" i="1"/>
  <c r="H20" i="1"/>
  <c r="K20" i="1" s="1"/>
  <c r="E20" i="1"/>
  <c r="F20" i="1" s="1"/>
  <c r="AE19" i="1"/>
  <c r="AF19" i="1" s="1"/>
  <c r="AB19" i="1"/>
  <c r="AC19" i="1" s="1"/>
  <c r="Z19" i="1"/>
  <c r="Y19" i="1"/>
  <c r="R19" i="1"/>
  <c r="Q19" i="1"/>
  <c r="P19" i="1"/>
  <c r="M19" i="1"/>
  <c r="J19" i="1"/>
  <c r="K19" i="1" s="1"/>
  <c r="H19" i="1"/>
  <c r="E19" i="1"/>
  <c r="F19" i="1" s="1"/>
  <c r="AE18" i="1"/>
  <c r="AC18" i="1"/>
  <c r="AB18" i="1"/>
  <c r="Y18" i="1"/>
  <c r="Z18" i="1" s="1"/>
  <c r="W18" i="1"/>
  <c r="S18" i="1"/>
  <c r="T18" i="1" s="1"/>
  <c r="R18" i="1"/>
  <c r="U18" i="1" s="1"/>
  <c r="V18" i="1" s="1"/>
  <c r="P18" i="1"/>
  <c r="M18" i="1"/>
  <c r="J18" i="1"/>
  <c r="H18" i="1"/>
  <c r="K18" i="1" s="1"/>
  <c r="E18" i="1"/>
  <c r="F18" i="1" s="1"/>
  <c r="AE17" i="1"/>
  <c r="AF17" i="1" s="1"/>
  <c r="AB17" i="1"/>
  <c r="AC17" i="1" s="1"/>
  <c r="Z17" i="1"/>
  <c r="Y17" i="1"/>
  <c r="R17" i="1"/>
  <c r="P17" i="1"/>
  <c r="M17" i="1"/>
  <c r="J17" i="1"/>
  <c r="K17" i="1" s="1"/>
  <c r="H17" i="1"/>
  <c r="Q17" i="1" s="1"/>
  <c r="E17" i="1"/>
  <c r="F17" i="1" s="1"/>
  <c r="AE16" i="1"/>
  <c r="AF16" i="1" s="1"/>
  <c r="AC16" i="1"/>
  <c r="AB16" i="1"/>
  <c r="Y16" i="1"/>
  <c r="Z16" i="1" s="1"/>
  <c r="W16" i="1"/>
  <c r="S16" i="1"/>
  <c r="T16" i="1" s="1"/>
  <c r="R16" i="1"/>
  <c r="U16" i="1" s="1"/>
  <c r="V16" i="1" s="1"/>
  <c r="P16" i="1"/>
  <c r="M16" i="1"/>
  <c r="J16" i="1"/>
  <c r="H16" i="1"/>
  <c r="K16" i="1" s="1"/>
  <c r="E16" i="1"/>
  <c r="F16" i="1" s="1"/>
  <c r="AE15" i="1"/>
  <c r="AF15" i="1" s="1"/>
  <c r="AB15" i="1"/>
  <c r="AC15" i="1" s="1"/>
  <c r="Z15" i="1"/>
  <c r="Y15" i="1"/>
  <c r="R15" i="1"/>
  <c r="P15" i="1"/>
  <c r="M15" i="1"/>
  <c r="J15" i="1"/>
  <c r="K15" i="1" s="1"/>
  <c r="H15" i="1"/>
  <c r="Q15" i="1" s="1"/>
  <c r="E15" i="1"/>
  <c r="F15" i="1" s="1"/>
  <c r="AE14" i="1"/>
  <c r="AF14" i="1" s="1"/>
  <c r="AC14" i="1"/>
  <c r="AB14" i="1"/>
  <c r="Z14" i="1"/>
  <c r="Y14" i="1"/>
  <c r="S14" i="1"/>
  <c r="T14" i="1" s="1"/>
  <c r="R14" i="1"/>
  <c r="U14" i="1" s="1"/>
  <c r="V14" i="1" s="1"/>
  <c r="W14" i="1" s="1"/>
  <c r="P14" i="1"/>
  <c r="M14" i="1"/>
  <c r="J14" i="1"/>
  <c r="H14" i="1"/>
  <c r="K14" i="1" s="1"/>
  <c r="E14" i="1"/>
  <c r="F14" i="1" s="1"/>
  <c r="AE13" i="1"/>
  <c r="AF13" i="1" s="1"/>
  <c r="AC13" i="1"/>
  <c r="AB13" i="1"/>
  <c r="Y13" i="1"/>
  <c r="R13" i="1"/>
  <c r="P13" i="1"/>
  <c r="M13" i="1"/>
  <c r="J13" i="1"/>
  <c r="K13" i="1" s="1"/>
  <c r="H13" i="1"/>
  <c r="Z13" i="1" s="1"/>
  <c r="E13" i="1"/>
  <c r="F13" i="1" s="1"/>
  <c r="AE12" i="1"/>
  <c r="AF12" i="1" s="1"/>
  <c r="AC12" i="1"/>
  <c r="AB12" i="1"/>
  <c r="Y12" i="1"/>
  <c r="S12" i="1"/>
  <c r="T12" i="1" s="1"/>
  <c r="R12" i="1"/>
  <c r="U12" i="1" s="1"/>
  <c r="V12" i="1" s="1"/>
  <c r="W12" i="1" s="1"/>
  <c r="P12" i="1"/>
  <c r="M12" i="1"/>
  <c r="J12" i="1"/>
  <c r="H12" i="1"/>
  <c r="Z12" i="1" s="1"/>
  <c r="E12" i="1"/>
  <c r="F12" i="1" s="1"/>
  <c r="AE11" i="1"/>
  <c r="AB11" i="1"/>
  <c r="Y11" i="1"/>
  <c r="R11" i="1"/>
  <c r="P11" i="1"/>
  <c r="Q11" i="1" s="1"/>
  <c r="M11" i="1"/>
  <c r="J11" i="1"/>
  <c r="K11" i="1" s="1"/>
  <c r="H11" i="1"/>
  <c r="AC11" i="1" s="1"/>
  <c r="E11" i="1"/>
  <c r="F11" i="1" s="1"/>
  <c r="AE10" i="1"/>
  <c r="AB10" i="1"/>
  <c r="Y10" i="1"/>
  <c r="R10" i="1"/>
  <c r="U10" i="1" s="1"/>
  <c r="V10" i="1" s="1"/>
  <c r="W10" i="1" s="1"/>
  <c r="P10" i="1"/>
  <c r="M10" i="1"/>
  <c r="J10" i="1"/>
  <c r="H10" i="1"/>
  <c r="AC10" i="1" s="1"/>
  <c r="E10" i="1"/>
  <c r="F10" i="1" s="1"/>
  <c r="AE9" i="1"/>
  <c r="AC9" i="1"/>
  <c r="AB9" i="1"/>
  <c r="Z9" i="1"/>
  <c r="Y9" i="1"/>
  <c r="R9" i="1"/>
  <c r="P9" i="1"/>
  <c r="Q9" i="1" s="1"/>
  <c r="M9" i="1"/>
  <c r="N9" i="1" s="1"/>
  <c r="J9" i="1"/>
  <c r="K9" i="1" s="1"/>
  <c r="H9" i="1"/>
  <c r="E9" i="1"/>
  <c r="F9" i="1" s="1"/>
  <c r="AE8" i="1"/>
  <c r="AC8" i="1"/>
  <c r="AB8" i="1"/>
  <c r="Z8" i="1"/>
  <c r="Y8" i="1"/>
  <c r="R8" i="1"/>
  <c r="U8" i="1" s="1"/>
  <c r="V8" i="1" s="1"/>
  <c r="W8" i="1" s="1"/>
  <c r="P8" i="1"/>
  <c r="Q8" i="1" s="1"/>
  <c r="M8" i="1"/>
  <c r="N8" i="1" s="1"/>
  <c r="K8" i="1"/>
  <c r="J8" i="1"/>
  <c r="H8" i="1"/>
  <c r="E8" i="1"/>
  <c r="F8" i="1" s="1"/>
  <c r="AE7" i="1"/>
  <c r="AF7" i="1" s="1"/>
  <c r="AC7" i="1"/>
  <c r="AB7" i="1"/>
  <c r="Z7" i="1"/>
  <c r="Y7" i="1"/>
  <c r="R7" i="1"/>
  <c r="P7" i="1"/>
  <c r="Q7" i="1" s="1"/>
  <c r="M7" i="1"/>
  <c r="N7" i="1" s="1"/>
  <c r="J7" i="1"/>
  <c r="K7" i="1" s="1"/>
  <c r="H7" i="1"/>
  <c r="E7" i="1"/>
  <c r="F7" i="1" s="1"/>
  <c r="AE6" i="1"/>
  <c r="AC6" i="1"/>
  <c r="AB6" i="1"/>
  <c r="Y6" i="1"/>
  <c r="Z6" i="1" s="1"/>
  <c r="R6" i="1"/>
  <c r="S6" i="1" s="1"/>
  <c r="T6" i="1" s="1"/>
  <c r="P6" i="1"/>
  <c r="M6" i="1"/>
  <c r="J6" i="1"/>
  <c r="H6" i="1"/>
  <c r="K6" i="1" s="1"/>
  <c r="F6" i="1"/>
  <c r="E6" i="1"/>
  <c r="Q120" i="1" l="1"/>
  <c r="AC120" i="1"/>
  <c r="Z120" i="1"/>
  <c r="T120" i="1"/>
  <c r="Q62" i="1"/>
  <c r="K62" i="1"/>
  <c r="AC62" i="1"/>
  <c r="Q124" i="1"/>
  <c r="AC124" i="1"/>
  <c r="W124" i="1"/>
  <c r="K10" i="1"/>
  <c r="S20" i="1"/>
  <c r="T20" i="1" s="1"/>
  <c r="N10" i="1"/>
  <c r="U21" i="1"/>
  <c r="V21" i="1" s="1"/>
  <c r="W21" i="1" s="1"/>
  <c r="S21" i="1"/>
  <c r="T21" i="1" s="1"/>
  <c r="Q60" i="1"/>
  <c r="K60" i="1"/>
  <c r="AC60" i="1"/>
  <c r="S8" i="1"/>
  <c r="T8" i="1" s="1"/>
  <c r="N11" i="1"/>
  <c r="S22" i="1"/>
  <c r="T22" i="1" s="1"/>
  <c r="S33" i="1"/>
  <c r="T33" i="1" s="1"/>
  <c r="N57" i="1"/>
  <c r="U125" i="1"/>
  <c r="V125" i="1" s="1"/>
  <c r="W125" i="1" s="1"/>
  <c r="S125" i="1"/>
  <c r="T125" i="1" s="1"/>
  <c r="N60" i="1"/>
  <c r="S62" i="1"/>
  <c r="T62" i="1" s="1"/>
  <c r="S10" i="1"/>
  <c r="T10" i="1" s="1"/>
  <c r="Q12" i="1"/>
  <c r="N40" i="1"/>
  <c r="Q58" i="1"/>
  <c r="U11" i="1"/>
  <c r="V11" i="1" s="1"/>
  <c r="W11" i="1" s="1"/>
  <c r="S11" i="1"/>
  <c r="T11" i="1" s="1"/>
  <c r="N14" i="1"/>
  <c r="AF18" i="1"/>
  <c r="K38" i="1"/>
  <c r="S43" i="1"/>
  <c r="T43" i="1" s="1"/>
  <c r="T57" i="1"/>
  <c r="T60" i="1"/>
  <c r="U19" i="1"/>
  <c r="V19" i="1" s="1"/>
  <c r="W19" i="1" s="1"/>
  <c r="S19" i="1"/>
  <c r="T19" i="1" s="1"/>
  <c r="U64" i="1"/>
  <c r="V64" i="1" s="1"/>
  <c r="W64" i="1" s="1"/>
  <c r="K120" i="1"/>
  <c r="U7" i="1"/>
  <c r="V7" i="1" s="1"/>
  <c r="W7" i="1" s="1"/>
  <c r="S7" i="1"/>
  <c r="T7" i="1" s="1"/>
  <c r="T5" i="1" s="1"/>
  <c r="Q93" i="1"/>
  <c r="N58" i="1"/>
  <c r="F5" i="1"/>
  <c r="Q14" i="1"/>
  <c r="N15" i="1"/>
  <c r="U31" i="1"/>
  <c r="V31" i="1" s="1"/>
  <c r="W31" i="1" s="1"/>
  <c r="S31" i="1"/>
  <c r="T31" i="1" s="1"/>
  <c r="N37" i="1"/>
  <c r="Q37" i="1"/>
  <c r="K37" i="1"/>
  <c r="T58" i="1"/>
  <c r="W60" i="1"/>
  <c r="Z62" i="1"/>
  <c r="AC93" i="1"/>
  <c r="Z124" i="1"/>
  <c r="N38" i="1"/>
  <c r="AF6" i="1"/>
  <c r="U13" i="1"/>
  <c r="V13" i="1" s="1"/>
  <c r="W13" i="1" s="1"/>
  <c r="S13" i="1"/>
  <c r="T13" i="1" s="1"/>
  <c r="N16" i="1"/>
  <c r="AF20" i="1"/>
  <c r="AF26" i="1"/>
  <c r="AF28" i="1"/>
  <c r="N28" i="1"/>
  <c r="AF34" i="1"/>
  <c r="N34" i="1"/>
  <c r="S40" i="1"/>
  <c r="T40" i="1" s="1"/>
  <c r="AC138" i="1"/>
  <c r="Z138" i="1"/>
  <c r="Q138" i="1"/>
  <c r="AF138" i="1"/>
  <c r="N138" i="1"/>
  <c r="U6" i="1"/>
  <c r="V6" i="1" s="1"/>
  <c r="W6" i="1" s="1"/>
  <c r="K43" i="1"/>
  <c r="Q10" i="1"/>
  <c r="K12" i="1"/>
  <c r="W62" i="1"/>
  <c r="AC106" i="1"/>
  <c r="W106" i="1"/>
  <c r="U9" i="1"/>
  <c r="V9" i="1" s="1"/>
  <c r="W9" i="1" s="1"/>
  <c r="S9" i="1"/>
  <c r="T9" i="1" s="1"/>
  <c r="S24" i="1"/>
  <c r="T24" i="1" s="1"/>
  <c r="K40" i="1"/>
  <c r="U61" i="1"/>
  <c r="V61" i="1" s="1"/>
  <c r="W61" i="1" s="1"/>
  <c r="S61" i="1"/>
  <c r="T61" i="1" s="1"/>
  <c r="K106" i="1"/>
  <c r="T124" i="1"/>
  <c r="N13" i="1"/>
  <c r="Q57" i="1"/>
  <c r="Q104" i="1"/>
  <c r="AC104" i="1"/>
  <c r="Q13" i="1"/>
  <c r="W40" i="1"/>
  <c r="Q16" i="1"/>
  <c r="N12" i="1"/>
  <c r="T38" i="1"/>
  <c r="W57" i="1"/>
  <c r="Z60" i="1"/>
  <c r="T106" i="1"/>
  <c r="AF8" i="1"/>
  <c r="AF9" i="1"/>
  <c r="U15" i="1"/>
  <c r="V15" i="1" s="1"/>
  <c r="W15" i="1" s="1"/>
  <c r="S15" i="1"/>
  <c r="T15" i="1" s="1"/>
  <c r="N18" i="1"/>
  <c r="W38" i="1"/>
  <c r="Z40" i="1"/>
  <c r="U56" i="1"/>
  <c r="V56" i="1" s="1"/>
  <c r="W56" i="1" s="1"/>
  <c r="Z57" i="1"/>
  <c r="Z87" i="1"/>
  <c r="Q87" i="1"/>
  <c r="Q130" i="1"/>
  <c r="T130" i="1"/>
  <c r="AC130" i="1"/>
  <c r="Z151" i="1"/>
  <c r="T151" i="1"/>
  <c r="Z10" i="1"/>
  <c r="Z5" i="1" s="1"/>
  <c r="N17" i="1"/>
  <c r="N19" i="1"/>
  <c r="Z11" i="1"/>
  <c r="N6" i="1"/>
  <c r="Q18" i="1"/>
  <c r="K26" i="1"/>
  <c r="K5" i="1" s="1"/>
  <c r="Q28" i="1"/>
  <c r="T37" i="1"/>
  <c r="W39" i="1"/>
  <c r="AC40" i="1"/>
  <c r="AC58" i="1"/>
  <c r="AF60" i="1"/>
  <c r="Q6" i="1"/>
  <c r="AF10" i="1"/>
  <c r="AF11" i="1"/>
  <c r="U17" i="1"/>
  <c r="V17" i="1" s="1"/>
  <c r="W17" i="1" s="1"/>
  <c r="S17" i="1"/>
  <c r="T17" i="1" s="1"/>
  <c r="N20" i="1"/>
  <c r="Z38" i="1"/>
  <c r="Q44" i="1"/>
  <c r="Z44" i="1"/>
  <c r="AF58" i="1"/>
  <c r="N43" i="1"/>
  <c r="W81" i="1"/>
  <c r="K104" i="1"/>
  <c r="K130" i="1"/>
  <c r="AC37" i="1"/>
  <c r="AC5" i="1" s="1"/>
  <c r="Z48" i="1"/>
  <c r="K58" i="1"/>
  <c r="U63" i="1"/>
  <c r="V63" i="1" s="1"/>
  <c r="W63" i="1" s="1"/>
  <c r="S63" i="1"/>
  <c r="T63" i="1" s="1"/>
  <c r="K93" i="1"/>
  <c r="U98" i="1"/>
  <c r="V98" i="1" s="1"/>
  <c r="W98" i="1" s="1"/>
  <c r="S98" i="1"/>
  <c r="T98" i="1" s="1"/>
  <c r="AF37" i="1"/>
  <c r="Q43" i="1"/>
  <c r="AC47" i="1"/>
  <c r="U65" i="1"/>
  <c r="V65" i="1" s="1"/>
  <c r="W65" i="1" s="1"/>
  <c r="S65" i="1"/>
  <c r="T65" i="1" s="1"/>
  <c r="U67" i="1"/>
  <c r="V67" i="1" s="1"/>
  <c r="W67" i="1" s="1"/>
  <c r="S67" i="1"/>
  <c r="T67" i="1" s="1"/>
  <c r="AF87" i="1"/>
  <c r="Q89" i="1"/>
  <c r="Z89" i="1"/>
  <c r="W101" i="1"/>
  <c r="AF101" i="1"/>
  <c r="N101" i="1"/>
  <c r="S113" i="1"/>
  <c r="T113" i="1" s="1"/>
  <c r="T34" i="1"/>
  <c r="AF39" i="1"/>
  <c r="AF81" i="1"/>
  <c r="S23" i="1"/>
  <c r="T23" i="1" s="1"/>
  <c r="T26" i="1"/>
  <c r="AF30" i="1"/>
  <c r="N30" i="1"/>
  <c r="K47" i="1"/>
  <c r="AF62" i="1"/>
  <c r="W93" i="1"/>
  <c r="Z100" i="1"/>
  <c r="Q100" i="1"/>
  <c r="W104" i="1"/>
  <c r="U161" i="1"/>
  <c r="V161" i="1" s="1"/>
  <c r="W161" i="1" s="1"/>
  <c r="S161" i="1"/>
  <c r="T161" i="1" s="1"/>
  <c r="Z81" i="1"/>
  <c r="Q81" i="1"/>
  <c r="Z106" i="1"/>
  <c r="W130" i="1"/>
  <c r="U36" i="1"/>
  <c r="V36" i="1" s="1"/>
  <c r="W36" i="1" s="1"/>
  <c r="S36" i="1"/>
  <c r="T36" i="1" s="1"/>
  <c r="K39" i="1"/>
  <c r="Q47" i="1"/>
  <c r="AC55" i="1"/>
  <c r="K55" i="1"/>
  <c r="U92" i="1"/>
  <c r="V92" i="1" s="1"/>
  <c r="W92" i="1" s="1"/>
  <c r="S92" i="1"/>
  <c r="T92" i="1" s="1"/>
  <c r="Q134" i="1"/>
  <c r="N134" i="1"/>
  <c r="Z134" i="1"/>
  <c r="K134" i="1"/>
  <c r="S27" i="1"/>
  <c r="T27" i="1" s="1"/>
  <c r="AF32" i="1"/>
  <c r="N32" i="1"/>
  <c r="N39" i="1"/>
  <c r="S46" i="1"/>
  <c r="T46" i="1" s="1"/>
  <c r="K49" i="1"/>
  <c r="T59" i="1"/>
  <c r="N61" i="1"/>
  <c r="S84" i="1"/>
  <c r="T84" i="1" s="1"/>
  <c r="S90" i="1"/>
  <c r="T90" i="1" s="1"/>
  <c r="S159" i="1"/>
  <c r="T159" i="1" s="1"/>
  <c r="U191" i="1"/>
  <c r="V191" i="1" s="1"/>
  <c r="W191" i="1" s="1"/>
  <c r="J191" i="1"/>
  <c r="K191" i="1" s="1"/>
  <c r="Q39" i="1"/>
  <c r="AC43" i="1"/>
  <c r="N49" i="1"/>
  <c r="AC57" i="1"/>
  <c r="W59" i="1"/>
  <c r="N62" i="1"/>
  <c r="Q64" i="1"/>
  <c r="AC64" i="1"/>
  <c r="K64" i="1"/>
  <c r="Q66" i="1"/>
  <c r="AC66" i="1"/>
  <c r="K66" i="1"/>
  <c r="N81" i="1"/>
  <c r="U100" i="1"/>
  <c r="V100" i="1" s="1"/>
  <c r="W100" i="1" s="1"/>
  <c r="S100" i="1"/>
  <c r="T100" i="1" s="1"/>
  <c r="N154" i="1"/>
  <c r="AF154" i="1"/>
  <c r="Q154" i="1"/>
  <c r="AC154" i="1"/>
  <c r="T28" i="1"/>
  <c r="K41" i="1"/>
  <c r="AF43" i="1"/>
  <c r="Q49" i="1"/>
  <c r="Z58" i="1"/>
  <c r="AF93" i="1"/>
  <c r="AF130" i="1"/>
  <c r="N87" i="1"/>
  <c r="T91" i="1"/>
  <c r="Q152" i="1"/>
  <c r="N152" i="1"/>
  <c r="U156" i="1"/>
  <c r="V156" i="1" s="1"/>
  <c r="W156" i="1" s="1"/>
  <c r="S156" i="1"/>
  <c r="T156" i="1" s="1"/>
  <c r="J170" i="1"/>
  <c r="K170" i="1" s="1"/>
  <c r="R170" i="1"/>
  <c r="S170" i="1" s="1"/>
  <c r="T170" i="1" s="1"/>
  <c r="Q69" i="1"/>
  <c r="AF75" i="1"/>
  <c r="N93" i="1"/>
  <c r="Z95" i="1"/>
  <c r="Q101" i="1"/>
  <c r="T104" i="1"/>
  <c r="S127" i="1"/>
  <c r="T127" i="1" s="1"/>
  <c r="K152" i="1"/>
  <c r="M172" i="1"/>
  <c r="N172" i="1" s="1"/>
  <c r="R172" i="1"/>
  <c r="S172" i="1" s="1"/>
  <c r="T172" i="1" s="1"/>
  <c r="T81" i="1"/>
  <c r="AF89" i="1"/>
  <c r="Z104" i="1"/>
  <c r="K124" i="1"/>
  <c r="U138" i="1"/>
  <c r="V138" i="1" s="1"/>
  <c r="W138" i="1" s="1"/>
  <c r="S138" i="1"/>
  <c r="T138" i="1" s="1"/>
  <c r="K151" i="1"/>
  <c r="Q162" i="1"/>
  <c r="Z162" i="1"/>
  <c r="N83" i="1"/>
  <c r="T87" i="1"/>
  <c r="AF95" i="1"/>
  <c r="S99" i="1"/>
  <c r="T99" i="1" s="1"/>
  <c r="Z101" i="1"/>
  <c r="Z142" i="1"/>
  <c r="Q142" i="1"/>
  <c r="AC142" i="1"/>
  <c r="Z154" i="1"/>
  <c r="K162" i="1"/>
  <c r="U166" i="1"/>
  <c r="V166" i="1" s="1"/>
  <c r="W166" i="1" s="1"/>
  <c r="S166" i="1"/>
  <c r="T166" i="1" s="1"/>
  <c r="AF73" i="1"/>
  <c r="N89" i="1"/>
  <c r="T93" i="1"/>
  <c r="AC101" i="1"/>
  <c r="W120" i="1"/>
  <c r="U133" i="1"/>
  <c r="V133" i="1" s="1"/>
  <c r="W133" i="1" s="1"/>
  <c r="S133" i="1"/>
  <c r="T133" i="1" s="1"/>
  <c r="U135" i="1"/>
  <c r="V135" i="1" s="1"/>
  <c r="W135" i="1" s="1"/>
  <c r="S135" i="1"/>
  <c r="T135" i="1" s="1"/>
  <c r="U137" i="1"/>
  <c r="V137" i="1" s="1"/>
  <c r="W137" i="1" s="1"/>
  <c r="S137" i="1"/>
  <c r="T137" i="1" s="1"/>
  <c r="Q151" i="1"/>
  <c r="S72" i="1"/>
  <c r="T72" i="1" s="1"/>
  <c r="N73" i="1"/>
  <c r="AF79" i="1"/>
  <c r="S82" i="1"/>
  <c r="T82" i="1" s="1"/>
  <c r="N95" i="1"/>
  <c r="Z98" i="1"/>
  <c r="AC100" i="1"/>
  <c r="AF104" i="1"/>
  <c r="S107" i="1"/>
  <c r="T107" i="1" s="1"/>
  <c r="T122" i="1"/>
  <c r="W134" i="1"/>
  <c r="S136" i="1"/>
  <c r="T136" i="1" s="1"/>
  <c r="Q149" i="1"/>
  <c r="Z152" i="1"/>
  <c r="N162" i="1"/>
  <c r="AF85" i="1"/>
  <c r="AC98" i="1"/>
  <c r="AF100" i="1"/>
  <c r="Q116" i="1"/>
  <c r="T116" i="1"/>
  <c r="W122" i="1"/>
  <c r="U131" i="1"/>
  <c r="V131" i="1" s="1"/>
  <c r="W131" i="1" s="1"/>
  <c r="AC152" i="1"/>
  <c r="W163" i="1"/>
  <c r="S165" i="1"/>
  <c r="T165" i="1" s="1"/>
  <c r="N79" i="1"/>
  <c r="T83" i="1"/>
  <c r="AF91" i="1"/>
  <c r="AF98" i="1"/>
  <c r="Z122" i="1"/>
  <c r="Z130" i="1"/>
  <c r="N142" i="1"/>
  <c r="U145" i="1"/>
  <c r="V145" i="1" s="1"/>
  <c r="W145" i="1" s="1"/>
  <c r="S145" i="1"/>
  <c r="T145" i="1" s="1"/>
  <c r="S149" i="1"/>
  <c r="T149" i="1" s="1"/>
  <c r="U150" i="1"/>
  <c r="V150" i="1" s="1"/>
  <c r="W150" i="1" s="1"/>
  <c r="S150" i="1"/>
  <c r="T150" i="1" s="1"/>
  <c r="W151" i="1"/>
  <c r="W162" i="1"/>
  <c r="O174" i="1"/>
  <c r="P174" i="1" s="1"/>
  <c r="Q174" i="1" s="1"/>
  <c r="M174" i="1"/>
  <c r="N174" i="1" s="1"/>
  <c r="T89" i="1"/>
  <c r="W149" i="1"/>
  <c r="Z156" i="1"/>
  <c r="N156" i="1"/>
  <c r="K100" i="1"/>
  <c r="K137" i="1"/>
  <c r="N140" i="1"/>
  <c r="AF140" i="1"/>
  <c r="N147" i="1"/>
  <c r="O175" i="1"/>
  <c r="P175" i="1" s="1"/>
  <c r="Q175" i="1" s="1"/>
  <c r="M175" i="1"/>
  <c r="N175" i="1" s="1"/>
  <c r="N100" i="1"/>
  <c r="N104" i="1"/>
  <c r="N122" i="1"/>
  <c r="N137" i="1"/>
  <c r="K140" i="1"/>
  <c r="Z166" i="1"/>
  <c r="M173" i="1"/>
  <c r="N173" i="1" s="1"/>
  <c r="N116" i="1"/>
  <c r="AF120" i="1"/>
  <c r="N130" i="1"/>
  <c r="Q144" i="1"/>
  <c r="N144" i="1"/>
  <c r="AF144" i="1"/>
  <c r="Z147" i="1"/>
  <c r="N151" i="1"/>
  <c r="K154" i="1"/>
  <c r="Q163" i="1"/>
  <c r="AF166" i="1"/>
  <c r="AF106" i="1"/>
  <c r="N120" i="1"/>
  <c r="AF124" i="1"/>
  <c r="W139" i="1"/>
  <c r="N143" i="1"/>
  <c r="AF147" i="1"/>
  <c r="N153" i="1"/>
  <c r="S163" i="1"/>
  <c r="T163" i="1" s="1"/>
  <c r="K165" i="1"/>
  <c r="O194" i="1"/>
  <c r="P194" i="1" s="1"/>
  <c r="Q194" i="1" s="1"/>
  <c r="X194" i="1"/>
  <c r="Y194" i="1" s="1"/>
  <c r="Z194" i="1" s="1"/>
  <c r="K98" i="1"/>
  <c r="N102" i="1"/>
  <c r="AF110" i="1"/>
  <c r="S119" i="1"/>
  <c r="T119" i="1" s="1"/>
  <c r="S141" i="1"/>
  <c r="T141" i="1" s="1"/>
  <c r="Q153" i="1"/>
  <c r="Q158" i="1"/>
  <c r="N158" i="1"/>
  <c r="AF158" i="1"/>
  <c r="Z161" i="1"/>
  <c r="N165" i="1"/>
  <c r="M194" i="1"/>
  <c r="N194" i="1" s="1"/>
  <c r="M195" i="1"/>
  <c r="N195" i="1" s="1"/>
  <c r="R195" i="1"/>
  <c r="S195" i="1" s="1"/>
  <c r="T195" i="1" s="1"/>
  <c r="N98" i="1"/>
  <c r="N106" i="1"/>
  <c r="N124" i="1"/>
  <c r="AC132" i="1"/>
  <c r="Z139" i="1"/>
  <c r="Q143" i="1"/>
  <c r="AC149" i="1"/>
  <c r="AC161" i="1"/>
  <c r="K167" i="1"/>
  <c r="O180" i="1"/>
  <c r="P180" i="1" s="1"/>
  <c r="Q180" i="1" s="1"/>
  <c r="M180" i="1"/>
  <c r="N180" i="1" s="1"/>
  <c r="X180" i="1"/>
  <c r="Y180" i="1" s="1"/>
  <c r="Z180" i="1" s="1"/>
  <c r="O195" i="1"/>
  <c r="P195" i="1" s="1"/>
  <c r="Q195" i="1" s="1"/>
  <c r="Q106" i="1"/>
  <c r="N110" i="1"/>
  <c r="W112" i="1"/>
  <c r="AC118" i="1"/>
  <c r="W126" i="1"/>
  <c r="AC139" i="1"/>
  <c r="Z140" i="1"/>
  <c r="T142" i="1"/>
  <c r="AF148" i="1"/>
  <c r="AF149" i="1"/>
  <c r="U152" i="1"/>
  <c r="V152" i="1" s="1"/>
  <c r="W152" i="1" s="1"/>
  <c r="S152" i="1"/>
  <c r="T152" i="1" s="1"/>
  <c r="T154" i="1"/>
  <c r="AF161" i="1"/>
  <c r="Q165" i="1"/>
  <c r="K135" i="1"/>
  <c r="AC141" i="1"/>
  <c r="K149" i="1"/>
  <c r="AC155" i="1"/>
  <c r="K163" i="1"/>
  <c r="T134" i="1"/>
  <c r="N135" i="1"/>
  <c r="AF141" i="1"/>
  <c r="N149" i="1"/>
  <c r="N163" i="1"/>
  <c r="AC133" i="1"/>
  <c r="AC137" i="1"/>
  <c r="T148" i="1"/>
  <c r="AC151" i="1"/>
  <c r="T162" i="1"/>
  <c r="AC165" i="1"/>
  <c r="M189" i="1"/>
  <c r="N189" i="1" s="1"/>
  <c r="K133" i="1"/>
  <c r="AF137" i="1"/>
  <c r="S139" i="1"/>
  <c r="T139" i="1" s="1"/>
  <c r="W143" i="1"/>
  <c r="AF151" i="1"/>
  <c r="S153" i="1"/>
  <c r="T153" i="1" s="1"/>
  <c r="N159" i="1"/>
  <c r="AF165" i="1"/>
  <c r="S167" i="1"/>
  <c r="T167" i="1" s="1"/>
  <c r="R190" i="1"/>
  <c r="S190" i="1" s="1"/>
  <c r="T190" i="1" s="1"/>
  <c r="M176" i="1"/>
  <c r="N176" i="1" s="1"/>
  <c r="M192" i="1"/>
  <c r="N192" i="1" s="1"/>
  <c r="W5" i="1" l="1"/>
  <c r="Q5" i="1"/>
  <c r="AF5" i="1"/>
  <c r="N5" i="1"/>
</calcChain>
</file>

<file path=xl/sharedStrings.xml><?xml version="1.0" encoding="utf-8"?>
<sst xmlns="http://schemas.openxmlformats.org/spreadsheetml/2006/main" count="436" uniqueCount="413">
  <si>
    <t>Add: 3555 West Reno Ave Suite #G Las Vegas NV 89118</t>
  </si>
  <si>
    <t>Qty</t>
  </si>
  <si>
    <t>ITEM</t>
  </si>
  <si>
    <t>PRODUCT DE SCRIPTION</t>
  </si>
  <si>
    <t xml:space="preserve">LDG  -          Lt Grey     Dk Grey  </t>
  </si>
  <si>
    <t>Amount</t>
  </si>
  <si>
    <t>Box-
Outside White Inside Clear Wood</t>
  </si>
  <si>
    <t>DB          -        Blue Shaker</t>
  </si>
  <si>
    <t xml:space="preserve">
SW       -     White </t>
  </si>
  <si>
    <t xml:space="preserve">BK                -        Black </t>
  </si>
  <si>
    <t xml:space="preserve">SLG      -        Light Grey </t>
  </si>
  <si>
    <t xml:space="preserve">GN       -    Green </t>
  </si>
  <si>
    <t>O           -     OAK</t>
  </si>
  <si>
    <t xml:space="preserve">AW               -                Antiqule White      CGS               -                Sky Grey </t>
  </si>
  <si>
    <t xml:space="preserve">DC               -      Expresso </t>
  </si>
  <si>
    <t>BASE CABINETS</t>
  </si>
  <si>
    <t xml:space="preserve">ALL IN </t>
  </si>
  <si>
    <t>Box Only</t>
  </si>
  <si>
    <t>Door Only</t>
  </si>
  <si>
    <t>Totla</t>
  </si>
  <si>
    <t>B09F</t>
  </si>
  <si>
    <t>Base Cabinet - 9"W x 34-1/2"H x 24"D</t>
  </si>
  <si>
    <t>B09</t>
  </si>
  <si>
    <t>B12</t>
  </si>
  <si>
    <t>Base Cabinet - 12"W x 34-1/2"H x 24"D</t>
  </si>
  <si>
    <t>B15</t>
  </si>
  <si>
    <t>Base Cabinet - 15"W x 34-1/2"H x 24"D</t>
  </si>
  <si>
    <t>B18</t>
  </si>
  <si>
    <t>Base Cabinet - 18"W x 34-1/2"H x 24"D</t>
  </si>
  <si>
    <t>B21</t>
  </si>
  <si>
    <t>Base Cabinet - 21"W x 34-1/2"H x 24"D</t>
  </si>
  <si>
    <t>B24</t>
  </si>
  <si>
    <t>Base Cabinet - 24"W x 34-1/2"H x 24"D</t>
  </si>
  <si>
    <t>B27</t>
  </si>
  <si>
    <t>Base Cabinet - 27"W x 34-1/2"H x 24"D</t>
  </si>
  <si>
    <t>B30</t>
  </si>
  <si>
    <t>Base Cabinet - 30"W x 34-1/2"H x 24"D</t>
  </si>
  <si>
    <t>B33</t>
  </si>
  <si>
    <t xml:space="preserve">Base Cabinet - 33"W x 34-1/2"H x 24"D </t>
  </si>
  <si>
    <t>B36</t>
  </si>
  <si>
    <t xml:space="preserve">Base Cabinet - 36"W x 34-1/2"H x 24"D </t>
  </si>
  <si>
    <t>B39</t>
  </si>
  <si>
    <t>Base Cabinet - 36"W x 34-1/2"H x 24"D Full High Door</t>
  </si>
  <si>
    <t>B42</t>
  </si>
  <si>
    <t xml:space="preserve">Base Cabinet - 42"W x 34-1/2"H x 24"D </t>
  </si>
  <si>
    <t>BBC36-39</t>
  </si>
  <si>
    <t xml:space="preserve">Blind Base Corner Cabinet - 36-39"W x 34-1/2"H x 24"D </t>
  </si>
  <si>
    <t>BBC39-42</t>
  </si>
  <si>
    <t xml:space="preserve">Blind Base Corner Cabinet - 39-42"W x 34-1/2"H x 24"D </t>
  </si>
  <si>
    <t>BBC42-45</t>
  </si>
  <si>
    <t>Blind Base Corner Cabinet - 42-45"W x 34-1/2"H x 24"D</t>
  </si>
  <si>
    <t>BLS33</t>
  </si>
  <si>
    <t>Lazy Susan Cabinet - 33"W x 34-1/2"H</t>
  </si>
  <si>
    <t>BLS36</t>
  </si>
  <si>
    <t xml:space="preserve">Lazy Susan Cabinet - 36"W x 34-1/2"H </t>
  </si>
  <si>
    <t>BPP09 SR</t>
  </si>
  <si>
    <t xml:space="preserve">Spice Pull Base Cabinet - 9"W x 34-1/2"H x 24"D </t>
  </si>
  <si>
    <t>BPP12 SR</t>
  </si>
  <si>
    <t xml:space="preserve">Spice Pull Base Cabinet - 12"W x 34-1/2"H x 24"D </t>
  </si>
  <si>
    <t>BTC15</t>
  </si>
  <si>
    <t xml:space="preserve">BTC15 </t>
  </si>
  <si>
    <t>BTC18</t>
  </si>
  <si>
    <t>BTC15-HWR</t>
  </si>
  <si>
    <t>BTC15 Hardware</t>
  </si>
  <si>
    <t>BTC18-HWR</t>
  </si>
  <si>
    <t>BTC18Hardware</t>
  </si>
  <si>
    <t>DB12-3</t>
  </si>
  <si>
    <t>Drawer Base Cabinet - 12"W x 34-1/2"H x 24"D - 3DRW</t>
  </si>
  <si>
    <t>DB15-3</t>
  </si>
  <si>
    <t>Drawer Base Cabinet - 15"W x  34-1/2"H x 24"D - 3DRW</t>
  </si>
  <si>
    <t>DB18-3</t>
  </si>
  <si>
    <t>Drawer Base Cabinet - 18"W x  34-1/2"H x 24"D - 3DRW</t>
  </si>
  <si>
    <t>DB21-3</t>
  </si>
  <si>
    <t>Drawer Base Cabinet - 21"W x  34-1/2"H x 24"D - 3DRW</t>
  </si>
  <si>
    <t>DB24-3</t>
  </si>
  <si>
    <t>Drawer Base Cabinet - 24"W x  34-1/2"H x 24"D - 3DRW</t>
  </si>
  <si>
    <t>DB24-2</t>
  </si>
  <si>
    <t>Drawer Base Cabinet - 24"W x  34-1/2"H x 24"D -2DRW</t>
  </si>
  <si>
    <t>DB27-3</t>
  </si>
  <si>
    <t>Drawer Base Cabinet - 27"W x  34-1/2"H x 24"D - 3DRW</t>
  </si>
  <si>
    <t>DB27-2</t>
  </si>
  <si>
    <t>Drawer Base Cabinet - 27"W x  34-1/2"H x 24"D - 2DRW</t>
  </si>
  <si>
    <t>DB30-2</t>
  </si>
  <si>
    <t>Drawer Base Cabinet - 30"W x  34-1/2"H x 24"D - 2DRW</t>
  </si>
  <si>
    <t>DB30-3</t>
  </si>
  <si>
    <t>Drawer Base Cabinet - 30"W x  34-1/2"H x 24"D - 3DRW</t>
  </si>
  <si>
    <t>DB33-3</t>
  </si>
  <si>
    <t>Drawer Base Cabinet - 33"W x  34-1/2"H x 24"D - 3DRW</t>
  </si>
  <si>
    <t>DB36-2</t>
  </si>
  <si>
    <t>Drawer Base Cabinet - 36"W x  34-1/2"H x 24"D - 2DRW</t>
  </si>
  <si>
    <t>DB36-3</t>
  </si>
  <si>
    <t>Drawer Base Cabinet - 36"W x  34-1/2"H x 24"D - 3DRW</t>
  </si>
  <si>
    <t>OC301224</t>
  </si>
  <si>
    <t>Oven Cabinet 30"W x 12"H x 24"D</t>
  </si>
  <si>
    <t>OC301824</t>
  </si>
  <si>
    <t>Oven Cabinet 30"W x 18"H x 24"D</t>
  </si>
  <si>
    <t>OC302424</t>
  </si>
  <si>
    <t>Oven Cabinet 30"W x 24"H x 24"D</t>
  </si>
  <si>
    <t>OC307224</t>
  </si>
  <si>
    <t>Oven Cabinet 30"W x 72"H x 24"D</t>
  </si>
  <si>
    <t>OC31DR Drawer Set</t>
  </si>
  <si>
    <t>Oven Cabinet Drawer Set</t>
  </si>
  <si>
    <t>OC3084 W</t>
  </si>
  <si>
    <t>Oven Cabinet 30"W x 84"H x 24"D W</t>
  </si>
  <si>
    <t>OC3084 B</t>
  </si>
  <si>
    <t>Oven Cabinet 30"W x 84"H x 24"D B</t>
  </si>
  <si>
    <t>OC3090 W</t>
  </si>
  <si>
    <t>Oven Cabinet 30"W x 90"H x 24"D W</t>
  </si>
  <si>
    <t>OC3090 B</t>
  </si>
  <si>
    <t>Oven Cabinet 30"W x 90"H x 24"D B</t>
  </si>
  <si>
    <t>OC3096 W</t>
  </si>
  <si>
    <t>Oven Cabinet 30"W x 96"H x 24"D W</t>
  </si>
  <si>
    <t>OC3096 B</t>
  </si>
  <si>
    <t>Oven Cabinet 30"W x 96"H x 24"D B</t>
  </si>
  <si>
    <t>OC3384</t>
  </si>
  <si>
    <t>Oven Cabinet 33"W x 84"H x 24"D</t>
  </si>
  <si>
    <t>OC3390</t>
  </si>
  <si>
    <t>Oven Cabinet 33"W x 90"H x 24"D</t>
  </si>
  <si>
    <t>OC3396</t>
  </si>
  <si>
    <t>Oven Cabinet 33"W x 96"H x 24"D</t>
  </si>
  <si>
    <t>PC363624</t>
  </si>
  <si>
    <t>Pantry Cabinet - 36"W x 36"H x 24"D - 1D, 2S</t>
  </si>
  <si>
    <t>PC364224</t>
  </si>
  <si>
    <t>Pantry Cabinet - 36"W x 42"H x 24"D - 1D, 2S</t>
  </si>
  <si>
    <t>PC365424</t>
  </si>
  <si>
    <t>Pantry Cabinet - 36"W x 54"H x 24"D - 1D, 2S</t>
  </si>
  <si>
    <t>PC1884 W</t>
  </si>
  <si>
    <t>Pantry Cabinet - 18"W x 84"H x 24"D - 1D, 2S W</t>
  </si>
  <si>
    <t>PC1890 W</t>
  </si>
  <si>
    <t>Pantry Cabinet - 18"W x 90"H x 24"D - 1D, 2S W</t>
  </si>
  <si>
    <t>PC1896 W</t>
  </si>
  <si>
    <t>Pantry Cabinet - 18"W x 96"H x 24"D - 1D, 2S W</t>
  </si>
  <si>
    <t>PC2484 W</t>
  </si>
  <si>
    <t>Pantry Cabinet - 24"W x 84"H x 24"D - 1D, 2S W</t>
  </si>
  <si>
    <t>PC2490 W</t>
  </si>
  <si>
    <t>Pantry Cabinet - 24"W x 90"H x 24"D - 1D, 2S W</t>
  </si>
  <si>
    <t>PC2496 W</t>
  </si>
  <si>
    <t>Pantry Cabinet - 24"W x 96"H x 24"D - 1D, 2S W</t>
  </si>
  <si>
    <t>PC3084 W</t>
  </si>
  <si>
    <t>Pantry Cabinet - 30"W x 84"H x 24"D - 1D, 2S W</t>
  </si>
  <si>
    <t>PC3090 W</t>
  </si>
  <si>
    <t>Pantry Cabinet - 30"W x 90"H x 24"D - 1D, 2S W</t>
  </si>
  <si>
    <t>PC3096 W</t>
  </si>
  <si>
    <t>Pantry Cabinet - 30"W x 96"H x 24"D - 1D, 2S W</t>
  </si>
  <si>
    <t>PC3684</t>
  </si>
  <si>
    <t>Pantry Cabinet - 36"W x 84"H x 24"D - 1D, 2S</t>
  </si>
  <si>
    <t>PC3690</t>
  </si>
  <si>
    <t>Pantry Cabinet - 36"W x 90"H x 24"D - 1D, 2S</t>
  </si>
  <si>
    <t>PC3696</t>
  </si>
  <si>
    <t>Pantry Cabinet - 36"W x 96"H x 24"D - 1D, 2S</t>
  </si>
  <si>
    <t>SB30</t>
  </si>
  <si>
    <t xml:space="preserve">Sink Base - 30"W x 34-1/2"H x 24"D </t>
  </si>
  <si>
    <t>SB33</t>
  </si>
  <si>
    <t xml:space="preserve">Sink Base - 33"W x 34-1/2"H x 24"D </t>
  </si>
  <si>
    <t>SB36</t>
  </si>
  <si>
    <t>Sink Base - 36"W x 34-1/2"H x 24"D</t>
  </si>
  <si>
    <t>SB42</t>
  </si>
  <si>
    <t>Sink Base - 42"W x 34-1/2"H x 24"D</t>
  </si>
  <si>
    <t>V2421</t>
  </si>
  <si>
    <t xml:space="preserve">Vanity Sink Base Cabinet - 24"W x 34 1/2"H x 21"D </t>
  </si>
  <si>
    <t>V2721</t>
  </si>
  <si>
    <t xml:space="preserve">Vanity Sink Base Cabinet - 27"W x 34 1/2"H x 21"D </t>
  </si>
  <si>
    <t>V3021</t>
  </si>
  <si>
    <t>Vanity Sink Base Cabinet - 30"W x 34 1/2"H x 21"D</t>
  </si>
  <si>
    <t>V3321</t>
  </si>
  <si>
    <t>Vanity Sink Base Cabinet - 33"W x 34 1/2"H x 21"D</t>
  </si>
  <si>
    <t>V3621</t>
  </si>
  <si>
    <t>Vanity Sink Base Cabinet - 36"W x 34 1/2"H x 21"D</t>
  </si>
  <si>
    <t>V4221</t>
  </si>
  <si>
    <t>Vanity Sink Base Cabinet - 42"W x 34 1/2"H x 21"D</t>
  </si>
  <si>
    <t>VKD30</t>
  </si>
  <si>
    <t>Farm Sink Base 30</t>
  </si>
  <si>
    <t>VKD36</t>
  </si>
  <si>
    <t>Farm Sink Base 36</t>
  </si>
  <si>
    <t>VSD3021L</t>
  </si>
  <si>
    <t>Vanity Sink Base Cabinet - 30"W x 34 1/2"H x 21"DL</t>
  </si>
  <si>
    <t>VSD3021R</t>
  </si>
  <si>
    <t>Vanity Sink Base Cabinet - 30"W x 34 1/2"H x 21"DR</t>
  </si>
  <si>
    <t>VSD3621L</t>
  </si>
  <si>
    <t>Vanity Sink Base Cabinet - 36"W x 34 1/2"H x 21"DL</t>
  </si>
  <si>
    <t>VSD3621R</t>
  </si>
  <si>
    <t>Vanity Sink Base Cabinet - 36"W x 34 1/2"H x 21"DR</t>
  </si>
  <si>
    <t>VSD4221L</t>
  </si>
  <si>
    <t>Vanity Sink Base Cabinet - 42"W x 34 1/2"H x 21"DL</t>
  </si>
  <si>
    <t>VSD4221R</t>
  </si>
  <si>
    <t>Vanity Sink Base Cabinet - 42"W x 34 1/2"H x 21"DR</t>
  </si>
  <si>
    <t>VSD4821</t>
  </si>
  <si>
    <t>Vanity Sink Base Cabinet - 48"W x 34 1/2"H x 21"D</t>
  </si>
  <si>
    <t>VSD6021</t>
  </si>
  <si>
    <t>Vanity Sink Base Cabinet - 60"W x 34 1/2"H x 21"D</t>
  </si>
  <si>
    <t>VSD6021DD</t>
  </si>
  <si>
    <t>Vanity Sink Base Cabinet - 60"W x 34 1/2"H x 21"DD</t>
  </si>
  <si>
    <t>VSD7221DD</t>
  </si>
  <si>
    <t>Vanity Sink Base Cabinet - 72"W x 34 1/2"H x 21"DD</t>
  </si>
  <si>
    <t>VDB1221-3</t>
  </si>
  <si>
    <t xml:space="preserve">Vanity Drawer Base Cabinet - 12"W x 34 1/2"H x 21"D </t>
  </si>
  <si>
    <t>VDB1521-3</t>
  </si>
  <si>
    <t>Vanity Drawer Base Cabinet - 15"W x 34 1/2"H x 21"D</t>
  </si>
  <si>
    <t>VDB1821-3</t>
  </si>
  <si>
    <t xml:space="preserve">Vanity Drawer Base Cabinet - 18"W x 34 1/2"H x 21"D </t>
  </si>
  <si>
    <t>VDB2121-3</t>
  </si>
  <si>
    <t xml:space="preserve">Vanity Drawer Base Cabinet - 21"W x 34 1/2"H x 21"D </t>
  </si>
  <si>
    <t>VDB2421-3</t>
  </si>
  <si>
    <t>Vanity Drawer Base Cabinet - 24"W x 34 1/2"H x 21"D</t>
  </si>
  <si>
    <t>VDB2721-3</t>
  </si>
  <si>
    <t>Vanity Drawer Base Cabinet - 27"W x 34 1/2"H x 21"D</t>
  </si>
  <si>
    <t>VDB3021-3</t>
  </si>
  <si>
    <t>Vanity Drawer Base Cabinet - 30"W x 34 1/2"H x 21"D</t>
  </si>
  <si>
    <t>WALL CABINETS</t>
  </si>
  <si>
    <t>W0930</t>
  </si>
  <si>
    <t xml:space="preserve">Wall Cabinet - 09"W x 30"H x 12"D </t>
  </si>
  <si>
    <t>W0936</t>
  </si>
  <si>
    <t>Wall Cabinet - 09"W x 36"H x 12"D</t>
  </si>
  <si>
    <t>W0942</t>
  </si>
  <si>
    <t xml:space="preserve">Wall Cabinet - 09"W x 42"H x 12"D </t>
  </si>
  <si>
    <t>W1230</t>
  </si>
  <si>
    <t xml:space="preserve">Wall Cabinet - 12"W x 30"H x 12"D </t>
  </si>
  <si>
    <t>W1236</t>
  </si>
  <si>
    <t xml:space="preserve">Wall Cabinet - 12"W x 36"H x 12"D </t>
  </si>
  <si>
    <t>W1242</t>
  </si>
  <si>
    <t xml:space="preserve">Wall Cabinet - 12"W x 42"H x 12"D </t>
  </si>
  <si>
    <t>W1530</t>
  </si>
  <si>
    <t xml:space="preserve">Wall Cabinet - 15"W x 30"H x 12"D </t>
  </si>
  <si>
    <t>W1536</t>
  </si>
  <si>
    <t xml:space="preserve">Wall Cabinet - 15"W x 36"H x 12"D </t>
  </si>
  <si>
    <t>W1542</t>
  </si>
  <si>
    <t xml:space="preserve">Wall Cabinet - 15"W x 42"H x 12"D </t>
  </si>
  <si>
    <t>W1830</t>
  </si>
  <si>
    <t xml:space="preserve">Wall Cabinet - 18"W x 30"H x 12"D </t>
  </si>
  <si>
    <t>W1836</t>
  </si>
  <si>
    <t xml:space="preserve">Wall Cabinet - 18"W x 36"H x 12"D </t>
  </si>
  <si>
    <t>W1842</t>
  </si>
  <si>
    <t>Wall Cabinet - 18"W x 42"H x 12"D</t>
  </si>
  <si>
    <t>W2130</t>
  </si>
  <si>
    <t>Wall Cabinet - 21"W x 30"H x 12"D</t>
  </si>
  <si>
    <t>W2136</t>
  </si>
  <si>
    <t>Wall Cabinet - 21"W x 36"H x 12"D</t>
  </si>
  <si>
    <t>W2142</t>
  </si>
  <si>
    <t>Wall Cabinet - 21"W x 42"H x 12"D</t>
  </si>
  <si>
    <t>W2430</t>
  </si>
  <si>
    <t xml:space="preserve">Wall Cabinet - 24"W x 30"H x 12"D </t>
  </si>
  <si>
    <t>W2436</t>
  </si>
  <si>
    <t>Wall Cabinet - 24"W x 36"H x 12"D</t>
  </si>
  <si>
    <t>W2442</t>
  </si>
  <si>
    <t>Wall Cabinet - 24"W x 42"H x 12"D</t>
  </si>
  <si>
    <t>W2730</t>
  </si>
  <si>
    <t>Wall Cabinet - 27"W x 30"H x 12"D</t>
  </si>
  <si>
    <t>W2736</t>
  </si>
  <si>
    <t>Wall Cabinet - 27"W x 36"H x 12"D</t>
  </si>
  <si>
    <t>W2742</t>
  </si>
  <si>
    <t>Wall Cabinet - 27"W x 42"H x 12"D</t>
  </si>
  <si>
    <t>W3012</t>
  </si>
  <si>
    <t xml:space="preserve">Wall Cabinet - 30"W x 12"H x 12"D </t>
  </si>
  <si>
    <t>W3015</t>
  </si>
  <si>
    <t>Wall Cabinet - 30"W x 15"H x 12"D</t>
  </si>
  <si>
    <t>W3018</t>
  </si>
  <si>
    <t>Wall Cabinet - 30"W x 18"H x 12"D</t>
  </si>
  <si>
    <t>W3021</t>
  </si>
  <si>
    <t>Wall Cabinet - 30"W x 21"H x 12"D</t>
  </si>
  <si>
    <t>W3024</t>
  </si>
  <si>
    <t>Wall Cabinet - 30"W x 24"H x 12"D</t>
  </si>
  <si>
    <t>W3030</t>
  </si>
  <si>
    <t>Wall Cabinet - 30"W x 30"H x 12"D</t>
  </si>
  <si>
    <t>W3036</t>
  </si>
  <si>
    <t>Wall Cabinet - 30"W x 36"H x 12"D</t>
  </si>
  <si>
    <t>W3042</t>
  </si>
  <si>
    <t>Wall Cabinet - 30"W x 42"H x 12"D</t>
  </si>
  <si>
    <t>W3330</t>
  </si>
  <si>
    <t>Wall Cabinet - 33"W x 30"H x 12"D</t>
  </si>
  <si>
    <t>W3336</t>
  </si>
  <si>
    <t>Wall Cabinet - 33"W x 36"H x 12"D</t>
  </si>
  <si>
    <t>W3342</t>
  </si>
  <si>
    <t xml:space="preserve">Wall Cabinet - 33"W x 42"H x 12"D </t>
  </si>
  <si>
    <t>W361212</t>
  </si>
  <si>
    <t>W361224</t>
  </si>
  <si>
    <t>Wall Refrigerator Cabinet - 36"W x 21"H x 24"D</t>
  </si>
  <si>
    <t>W3615</t>
  </si>
  <si>
    <t>Wall Cabinet - 36"W x 15"H x 12"D</t>
  </si>
  <si>
    <t>W361524</t>
  </si>
  <si>
    <t>Wall Refrigerator Cabinet - 36"W x 15"H x 24"D</t>
  </si>
  <si>
    <t>W3618</t>
  </si>
  <si>
    <t>Wall Cabinet - 36"W x 18"H x 12"D</t>
  </si>
  <si>
    <t>W361824</t>
  </si>
  <si>
    <t>Wall Refrigerator Cabinet - 36"W x 18"H x 24"D</t>
  </si>
  <si>
    <t>W3621</t>
  </si>
  <si>
    <t>Wall Cabinet - 36"W x 21"H x 12"D</t>
  </si>
  <si>
    <t>W362124</t>
  </si>
  <si>
    <t>W3624</t>
  </si>
  <si>
    <t>Wall Cabinet - 36"W x 24"H x 12"D</t>
  </si>
  <si>
    <t>W362424</t>
  </si>
  <si>
    <t>Wall Refrigerator Cabinet - 36"W x 24"H x 24"D</t>
  </si>
  <si>
    <t>W3630</t>
  </si>
  <si>
    <t>Wall Cabinet - 36"W x 30"H x 12"D</t>
  </si>
  <si>
    <t>W3636</t>
  </si>
  <si>
    <t>Wall Cabinet - 36"W x 36"H x 12"D</t>
  </si>
  <si>
    <t>W3642</t>
  </si>
  <si>
    <t>Wall Cabinet - 36"W x 42"H x 12"D</t>
  </si>
  <si>
    <t>WBC2730</t>
  </si>
  <si>
    <t xml:space="preserve">Wall Blind Corner Cabinet - 27"W x 30"H x 12"D </t>
  </si>
  <si>
    <t>WBC2736</t>
  </si>
  <si>
    <t>Wall Blind Corner Cabinet - 27"W x 36"H x 12"D</t>
  </si>
  <si>
    <t>WBC2742</t>
  </si>
  <si>
    <t>Wall Blind Corner Cabinet - 27"W x 42"H x 12"D</t>
  </si>
  <si>
    <t>WDC2430</t>
  </si>
  <si>
    <t>Wall Diagonal Corner Cabinet - 24"W x 30"H x 12"D</t>
  </si>
  <si>
    <t>WDC2436</t>
  </si>
  <si>
    <t xml:space="preserve">Wall Diagonal Corner Cabinet -  24"W x 36"H x 12"D </t>
  </si>
  <si>
    <t>WDC2442</t>
  </si>
  <si>
    <t>Wall Diagonal Corner Cabinet -  24"W x 42"H x 12"D</t>
  </si>
  <si>
    <t>WMC2730</t>
  </si>
  <si>
    <t>Microwave Oven Cabinet  - 27"W x 30"H x 12"D</t>
  </si>
  <si>
    <t>WMC2736</t>
  </si>
  <si>
    <t>Microwave Oven Cabinet  - 27"W x 36"H x 12"D</t>
  </si>
  <si>
    <t>WMC2742</t>
  </si>
  <si>
    <t>Microwave Oven Cabinet  - 27"W x 42"H x 12"D</t>
  </si>
  <si>
    <t>WMC303012</t>
  </si>
  <si>
    <t>Microwave Oven Cabinet  - 30"W x 30"H x 12"D</t>
  </si>
  <si>
    <t>WMC303612</t>
  </si>
  <si>
    <t>Microwave Oven Cabinet  - 30"W x 36"H x 12"D</t>
  </si>
  <si>
    <t>WMC304212</t>
  </si>
  <si>
    <t>Microwave Oven Cabinet  - 30"W x 42"H x 12"D</t>
  </si>
  <si>
    <t>WWR3015</t>
  </si>
  <si>
    <t>WWR3615</t>
  </si>
  <si>
    <t>GR30</t>
  </si>
  <si>
    <t>GR36</t>
  </si>
  <si>
    <t xml:space="preserve">Wall Wine Rack Cabinet - 30"W x 15"H x 12"D </t>
  </si>
  <si>
    <t>WWR3018</t>
  </si>
  <si>
    <t xml:space="preserve">Wall Wine Rack Cabinet - 30"W x 18"H x 12"D </t>
  </si>
  <si>
    <t>WES0930</t>
  </si>
  <si>
    <t>Wall End Shelf - 9"W x 30"H x 12"D</t>
  </si>
  <si>
    <t>WES0936</t>
  </si>
  <si>
    <t>Wall End Shelf - 9"W x 36"H x 12"D</t>
  </si>
  <si>
    <t>WES0942</t>
  </si>
  <si>
    <t>Wall End Shelf - 9"W x 42"H x 12"D</t>
  </si>
  <si>
    <t>WF1.5X96</t>
  </si>
  <si>
    <t>Tall Filler - 1.5"W x 96"H x 3/4"D</t>
  </si>
  <si>
    <t>BF3</t>
  </si>
  <si>
    <t>Base Filler - 3"W x 34 1/2"H x 3/4"D</t>
  </si>
  <si>
    <t>BF6</t>
  </si>
  <si>
    <t>Base Filler - 6"W x 34 1/2"H x 3/4"D</t>
  </si>
  <si>
    <t>WF3X30</t>
  </si>
  <si>
    <t>Wall Filler - 3"W x 30"H x 3/4"D</t>
  </si>
  <si>
    <t>WF3X36</t>
  </si>
  <si>
    <t>Wall Filler - 3"W x 36"H x 3/4"D</t>
  </si>
  <si>
    <t>WF3X42</t>
  </si>
  <si>
    <t>Wall Filler - 3"W x 42"H x 3/4"D</t>
  </si>
  <si>
    <t>WF3X96</t>
  </si>
  <si>
    <t>Tall Filler - 3"W x 96"H x 3/4"D</t>
  </si>
  <si>
    <t>WF6X36</t>
  </si>
  <si>
    <t>Wall Filler - 6"W x 36"H x 3/4"D</t>
  </si>
  <si>
    <t>WF6X42</t>
  </si>
  <si>
    <t>Wall Filler - 6"W x 42"H x 3/4"D</t>
  </si>
  <si>
    <t>WF6X96</t>
  </si>
  <si>
    <t>Tall Filler - 6"W x 96"H x 3/4"D</t>
  </si>
  <si>
    <t>CM2 Crown Moslding 2-1/8"</t>
  </si>
  <si>
    <t>Crown  Molding  -2 3/8"W x 96"H x 3/4"D</t>
  </si>
  <si>
    <t>CMU3</t>
  </si>
  <si>
    <t>Crown  Molding  -3 17/32"W x 96"H x 3/4"D</t>
  </si>
  <si>
    <t>CMU4</t>
  </si>
  <si>
    <t>Crown  Molding  -4 17/32"W x 96"H x 3/4"D</t>
  </si>
  <si>
    <t>DWPNL24</t>
  </si>
  <si>
    <t xml:space="preserve">Dishwasher  Panel 24"W X 34-1/2"H X 1/2"D </t>
  </si>
  <si>
    <t>PNL1230</t>
  </si>
  <si>
    <t>Wall Skin Panel 12" x 30"</t>
  </si>
  <si>
    <t>PNL1236</t>
  </si>
  <si>
    <t>Wall Skin Panel 12" x 36"</t>
  </si>
  <si>
    <t>PNL1242</t>
  </si>
  <si>
    <t>Wall Skin Panel 12" x 42"</t>
  </si>
  <si>
    <t>PNL25.5X34.5X0.75(Island Base Panel)</t>
  </si>
  <si>
    <t>Base Skin Panel 24" x 34.5"/BEP26</t>
  </si>
  <si>
    <t>RPNL9624 1/2</t>
  </si>
  <si>
    <t>Refrigerator End Panel Veneer - 24"W x 96"H x1 1/2"D</t>
  </si>
  <si>
    <t>FD1230</t>
  </si>
  <si>
    <t>Fake Door 12" x 30"</t>
  </si>
  <si>
    <t>FD1236</t>
  </si>
  <si>
    <t>Fake Door 12" x 36"</t>
  </si>
  <si>
    <t>FD1242</t>
  </si>
  <si>
    <t>Fake Door 12" x 42"</t>
  </si>
  <si>
    <t>FD2430</t>
  </si>
  <si>
    <t>Fake Door 24" x 30"</t>
  </si>
  <si>
    <t>IPNL9636-3/4 (Island Panel)</t>
  </si>
  <si>
    <t xml:space="preserve">Island Panel 96 x 34.5x 1/4 </t>
  </si>
  <si>
    <t xml:space="preserve"> LM1.5 Light Rail Molding 1.5"</t>
  </si>
  <si>
    <t xml:space="preserve">Light Rail Moulding - 1.5" x 96" </t>
  </si>
  <si>
    <t>PNL9648-1/4</t>
  </si>
  <si>
    <t>PNL9624-1/4 (Pantry Skin)</t>
  </si>
  <si>
    <t xml:space="preserve">Pantry Skin Panel 96 x 24x 1/4 </t>
  </si>
  <si>
    <t>PNL9636-1/4 (Pantry Skin)</t>
  </si>
  <si>
    <t>Pantry Skin Panel 96 x 34.5x 1/4</t>
  </si>
  <si>
    <t>OCM8</t>
  </si>
  <si>
    <t>Outside Corner Molding - 3/4"W x 96"H x 3/4"D</t>
  </si>
  <si>
    <t>TK8</t>
  </si>
  <si>
    <t xml:space="preserve">Toe Kick 8' Plywood - 96"W x 4 1/2"H x 1/8"D </t>
  </si>
  <si>
    <t>SM8</t>
  </si>
  <si>
    <t>Scribe Molding - 3/4"W x 96"H x 1/4"D</t>
  </si>
  <si>
    <t>ROT15</t>
  </si>
  <si>
    <t>Roll Out Tray - Fits B15</t>
  </si>
  <si>
    <t>ROT18</t>
  </si>
  <si>
    <t>Roll Out Tray - Fits B18</t>
  </si>
  <si>
    <t>ROT21</t>
  </si>
  <si>
    <t>Roll Out Tray - Fits B21</t>
  </si>
  <si>
    <t>ROT24</t>
  </si>
  <si>
    <t>Roll Out Tray - Fits B24</t>
  </si>
  <si>
    <t>ROT27</t>
  </si>
  <si>
    <t>Roll Out Tray - Fits B27</t>
  </si>
  <si>
    <t>ROT30</t>
  </si>
  <si>
    <t>Roll Out Tray - Fits B30</t>
  </si>
  <si>
    <t>ROT33</t>
  </si>
  <si>
    <t>Roll Out Tray - Fits B33</t>
  </si>
  <si>
    <t>ROT36</t>
  </si>
  <si>
    <t>Roll Out Tray - Fits B36</t>
  </si>
  <si>
    <t>Cabella Cabinets Price List - Select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</si>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</sst>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6" x14ac:knownFonts="1">
    <font>
      <sz val="11"/>
      <color theme="1"/>
      <name val="Calibri"/>
    </font>
    <font>
      <sz val="11"/>
      <color theme="1"/>
      <name val="Calibri"/>
    </font>
    <font>
      <b/>
      <sz val="20"/>
      <color theme="1"/>
      <name val="Arial"/>
    </font>
    <font>
      <b/>
      <sz val="14"/>
      <color theme="1"/>
      <name val="Calibri"/>
    </font>
    <font>
      <b/>
      <sz val="14"/>
      <color theme="1"/>
      <name val="Arial"/>
    </font>
    <font>
      <sz val="11"/>
      <name val="Calibri"/>
    </font>
    <font>
      <b/>
      <sz val="12"/>
      <color theme="1"/>
      <name val="Arial"/>
    </font>
    <font>
      <sz val="14"/>
      <color theme="1"/>
      <name val="Calibri"/>
    </font>
    <font>
      <b/>
      <sz val="10"/>
      <color theme="1"/>
      <name val="Arial"/>
    </font>
    <font>
      <b/>
      <sz val="14"/>
      <color theme="0"/>
      <name val="Arial"/>
    </font>
    <font>
      <b/>
      <sz val="9"/>
      <color theme="1"/>
      <name val="Calibri"/>
    </font>
    <font>
      <b/>
      <sz val="16"/>
      <color theme="1"/>
      <name val="Calibri"/>
    </font>
    <font>
      <b/>
      <sz val="14"/>
      <color rgb="FFC00000"/>
      <name val="Calibri"/>
    </font>
    <font>
      <sz val="9"/>
      <color theme="1"/>
      <name val="Calibri"/>
    </font>
    <font>
      <sz val="8"/>
      <color theme="1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8EAADB"/>
      </patternFill>
    </fill>
    <fill>
      <patternFill patternType="solid">
        <fgColor rgb="FFA8D08D"/>
      </patternFill>
    </fill>
    <fill>
      <patternFill patternType="solid">
        <fgColor rgb="FFE7E6E6"/>
      </patternFill>
    </fill>
    <fill>
      <patternFill patternType="solid">
        <fgColor rgb="FFF7CAA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/>
    <xf numFmtId="164" fontId="13" fillId="0" borderId="2" xfId="0" applyNumberFormat="1" applyFont="1" applyBorder="1" applyAlignment="1">
      <alignment horizontal="left" vertical="center"/>
    </xf>
    <xf numFmtId="164" fontId="13" fillId="0" borderId="2" xfId="0" applyNumberFormat="1" applyFont="1" applyBorder="1" applyAlignment="1">
      <alignment horizontal="center" vertical="center"/>
    </xf>
    <xf numFmtId="43" fontId="10" fillId="0" borderId="2" xfId="0" applyNumberFormat="1" applyFont="1" applyBorder="1" applyAlignment="1">
      <alignment vertical="center"/>
    </xf>
    <xf numFmtId="164" fontId="1" fillId="0" borderId="2" xfId="0" applyNumberFormat="1" applyFont="1" applyBorder="1"/>
    <xf numFmtId="0" fontId="1" fillId="0" borderId="2" xfId="0" applyFont="1" applyBorder="1"/>
    <xf numFmtId="164" fontId="10" fillId="2" borderId="2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>
      <alignment horizontal="center" vertical="center"/>
    </xf>
    <xf numFmtId="43" fontId="10" fillId="2" borderId="2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>
      <alignment vertical="center"/>
    </xf>
    <xf numFmtId="49" fontId="14" fillId="0" borderId="0" xfId="0" applyNumberFormat="1" applyFont="1" applyAlignment="1">
      <alignment horizontal="left"/>
    </xf>
    <xf numFmtId="49" fontId="15" fillId="0" borderId="0" xfId="0" applyNumberFormat="1" applyFont="1" applyAlignment="1">
      <alignment horizontal="left"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vertical="center" wrapText="1"/>
    </xf>
    <xf numFmtId="164" fontId="6" fillId="0" borderId="1" xfId="0" applyNumberFormat="1" applyFont="1" applyBorder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7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164" fontId="12" fillId="3" borderId="2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top" wrapText="1"/>
    </xf>
    <xf numFmtId="0" fontId="0" fillId="0" borderId="0" xfId="0" applyAlignment="1">
      <alignment wrapText="1"/>
    </xf>
    <xf numFmtId="49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wrapText="1"/>
    </xf>
    <xf numFmtId="49" fontId="10" fillId="2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10" fillId="3" borderId="3" xfId="0" applyFont="1" applyFill="1" applyBorder="1" applyAlignment="1">
      <alignment horizontal="center" vertical="center" wrapText="1"/>
    </xf>
    <xf numFmtId="164" fontId="10" fillId="3" borderId="3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164" fontId="10" fillId="2" borderId="3" xfId="0" applyNumberFormat="1" applyFont="1" applyFill="1" applyBorder="1" applyAlignment="1">
      <alignment horizontal="center" vertical="center"/>
    </xf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selection activeCell="A6" sqref="A6"/>
    </sheetView>
  </sheetViews>
  <sheetFormatPr defaultColWidth="14.44140625" defaultRowHeight="14.4" x14ac:dyDescent="0.3"/>
  <cols>
    <col min="1" max="1" width="7.88671875" customWidth="1"/>
    <col min="2" max="2" width="16" customWidth="1"/>
    <col min="3" max="3" width="38" customWidth="1"/>
    <col min="4" max="32" width="12" customWidth="1"/>
  </cols>
  <sheetData>
    <row r="1" spans="1:32" ht="21" customHeight="1" x14ac:dyDescent="0.35">
      <c r="A1" s="20"/>
      <c r="B1" s="33" t="s">
        <v>411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21"/>
      <c r="Z1" s="21"/>
      <c r="AA1" s="21"/>
      <c r="AB1" s="21"/>
      <c r="AC1" s="21"/>
      <c r="AD1" s="2"/>
      <c r="AE1" s="20"/>
      <c r="AF1" s="20"/>
    </row>
    <row r="2" spans="1:32" ht="18" x14ac:dyDescent="0.35">
      <c r="A2" s="22"/>
      <c r="B2" s="35" t="s">
        <v>0</v>
      </c>
      <c r="C2" s="36"/>
      <c r="D2" s="23"/>
      <c r="E2" s="23"/>
      <c r="F2" s="23"/>
      <c r="G2" s="23"/>
      <c r="H2" s="24"/>
      <c r="I2" s="25"/>
      <c r="J2" s="25"/>
      <c r="K2" s="25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  <c r="Z2" s="24"/>
      <c r="AA2" s="24"/>
      <c r="AB2" s="24"/>
      <c r="AC2" s="24"/>
      <c r="AD2" s="20"/>
      <c r="AE2" s="25"/>
      <c r="AF2" s="25"/>
    </row>
    <row r="3" spans="1:32" ht="92.4" x14ac:dyDescent="0.3">
      <c r="A3" s="26" t="s">
        <v>1</v>
      </c>
      <c r="B3" s="27" t="s">
        <v>2</v>
      </c>
      <c r="C3" s="3" t="s">
        <v>3</v>
      </c>
      <c r="D3" s="4" t="s">
        <v>4</v>
      </c>
      <c r="E3" s="4" t="s">
        <v>4</v>
      </c>
      <c r="F3" s="5" t="s">
        <v>5</v>
      </c>
      <c r="G3" s="4" t="s">
        <v>6</v>
      </c>
      <c r="H3" s="4" t="s">
        <v>6</v>
      </c>
      <c r="I3" s="4" t="s">
        <v>7</v>
      </c>
      <c r="J3" s="4" t="s">
        <v>7</v>
      </c>
      <c r="K3" s="5" t="s">
        <v>5</v>
      </c>
      <c r="L3" s="4" t="s">
        <v>8</v>
      </c>
      <c r="M3" s="4" t="s">
        <v>8</v>
      </c>
      <c r="N3" s="5" t="s">
        <v>5</v>
      </c>
      <c r="O3" s="4" t="s">
        <v>9</v>
      </c>
      <c r="P3" s="4" t="s">
        <v>9</v>
      </c>
      <c r="Q3" s="5" t="s">
        <v>5</v>
      </c>
      <c r="R3" s="4" t="s">
        <v>10</v>
      </c>
      <c r="S3" s="4" t="s">
        <v>10</v>
      </c>
      <c r="T3" s="5" t="s">
        <v>5</v>
      </c>
      <c r="U3" s="4" t="s">
        <v>11</v>
      </c>
      <c r="V3" s="4" t="s">
        <v>11</v>
      </c>
      <c r="W3" s="5" t="s">
        <v>5</v>
      </c>
      <c r="X3" s="4" t="s">
        <v>12</v>
      </c>
      <c r="Y3" s="4" t="s">
        <v>12</v>
      </c>
      <c r="Z3" s="5" t="s">
        <v>5</v>
      </c>
      <c r="AA3" s="4" t="s">
        <v>13</v>
      </c>
      <c r="AB3" s="4" t="s">
        <v>13</v>
      </c>
      <c r="AC3" s="5" t="s">
        <v>5</v>
      </c>
      <c r="AD3" s="4" t="s">
        <v>14</v>
      </c>
      <c r="AE3" s="4" t="s">
        <v>14</v>
      </c>
      <c r="AF3" s="5" t="s">
        <v>5</v>
      </c>
    </row>
    <row r="4" spans="1:32" x14ac:dyDescent="0.3">
      <c r="A4" s="28"/>
      <c r="B4" s="37" t="s">
        <v>15</v>
      </c>
      <c r="C4" s="38"/>
      <c r="D4" s="39" t="s">
        <v>16</v>
      </c>
      <c r="E4" s="38"/>
      <c r="F4" s="29"/>
      <c r="G4" s="39" t="s">
        <v>17</v>
      </c>
      <c r="H4" s="38"/>
      <c r="I4" s="40" t="s">
        <v>18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38"/>
      <c r="AF4" s="4"/>
    </row>
    <row r="5" spans="1:32" ht="21" x14ac:dyDescent="0.3">
      <c r="A5" s="30" t="s">
        <v>19</v>
      </c>
      <c r="B5" s="31"/>
      <c r="C5" s="31"/>
      <c r="D5" s="29"/>
      <c r="E5" s="29"/>
      <c r="F5" s="32" t="e">
        <f>SUM(F6:F207)</f>
        <v>#VALUE!</v>
      </c>
      <c r="G5" s="32"/>
      <c r="H5" s="32"/>
      <c r="I5" s="32"/>
      <c r="J5" s="32"/>
      <c r="K5" s="32" t="e">
        <f>SUM(K6:K207)</f>
        <v>#VALUE!</v>
      </c>
      <c r="L5" s="32"/>
      <c r="M5" s="32"/>
      <c r="N5" s="32" t="e">
        <f>SUM(N6:N207)</f>
        <v>#VALUE!</v>
      </c>
      <c r="O5" s="32"/>
      <c r="P5" s="32"/>
      <c r="Q5" s="32" t="e">
        <f>SUM(Q6:Q207)</f>
        <v>#VALUE!</v>
      </c>
      <c r="R5" s="32"/>
      <c r="S5" s="32"/>
      <c r="T5" s="32" t="e">
        <f>SUM(T6:T207)</f>
        <v>#VALUE!</v>
      </c>
      <c r="U5" s="32"/>
      <c r="V5" s="32"/>
      <c r="W5" s="32" t="e">
        <f>SUM(W6:W207)</f>
        <v>#VALUE!</v>
      </c>
      <c r="X5" s="32"/>
      <c r="Y5" s="32"/>
      <c r="Z5" s="32" t="e">
        <f>SUM(Z6:Z207)</f>
        <v>#VALUE!</v>
      </c>
      <c r="AA5" s="32"/>
      <c r="AB5" s="32"/>
      <c r="AC5" s="32" t="e">
        <f>SUM(AC6:AC207)</f>
        <v>#VALUE!</v>
      </c>
      <c r="AD5" s="32"/>
      <c r="AE5" s="32"/>
      <c r="AF5" s="32" t="e">
        <f>SUM(AF6:AF207)</f>
        <v>#VALUE!</v>
      </c>
    </row>
    <row r="6" spans="1:32" x14ac:dyDescent="0.3">
      <c r="A6" s="6" t="s">
        <v>412</v>
      </c>
      <c r="B6" s="7" t="s">
        <v>20</v>
      </c>
      <c r="C6" s="7" t="s">
        <v>21</v>
      </c>
      <c r="D6" s="8">
        <v>242.31</v>
      </c>
      <c r="E6" s="8">
        <f t="shared" ref="E6:E167" si="0">D6*0.3</f>
        <v>72.692999999999998</v>
      </c>
      <c r="F6" s="8" t="e">
        <f t="shared" ref="F6:F207" si="1">E6*A6</f>
        <v>#VALUE!</v>
      </c>
      <c r="G6" s="8">
        <v>150.33000000000001</v>
      </c>
      <c r="H6" s="8">
        <f t="shared" ref="H6:H167" si="2">G6*0.3</f>
        <v>45.099000000000004</v>
      </c>
      <c r="I6" s="8">
        <v>109.23</v>
      </c>
      <c r="J6" s="8">
        <f t="shared" ref="J6:J167" si="3">I6*0.3</f>
        <v>32.768999999999998</v>
      </c>
      <c r="K6" s="8" t="e">
        <f t="shared" ref="K6:K207" si="4">(J6+H6)*A6</f>
        <v>#VALUE!</v>
      </c>
      <c r="L6" s="8">
        <v>94.63</v>
      </c>
      <c r="M6" s="8">
        <f t="shared" ref="M6:M199" si="5">L6*0.26</f>
        <v>24.6038</v>
      </c>
      <c r="N6" s="8" t="e">
        <f t="shared" ref="N6:N207" si="6">(M6+H6)*A6</f>
        <v>#VALUE!</v>
      </c>
      <c r="O6" s="8"/>
      <c r="P6" s="8">
        <f t="shared" ref="P6:P167" si="7">O6*0.3</f>
        <v>0</v>
      </c>
      <c r="Q6" s="8" t="e">
        <f t="shared" ref="Q6:Q207" si="8">(P6+H6)*A6</f>
        <v>#VALUE!</v>
      </c>
      <c r="R6" s="8">
        <f t="shared" ref="R6:R34" si="9">L6</f>
        <v>94.63</v>
      </c>
      <c r="S6" s="8">
        <f t="shared" ref="S6:S167" si="10">R6*0.3</f>
        <v>28.388999999999999</v>
      </c>
      <c r="T6" s="8" t="e">
        <f t="shared" ref="T6:T207" si="11">(S6+H6)*A6</f>
        <v>#VALUE!</v>
      </c>
      <c r="U6" s="8">
        <f t="shared" ref="U6:U100" si="12">R6</f>
        <v>94.63</v>
      </c>
      <c r="V6" s="8">
        <f t="shared" ref="V6:V167" si="13">U6*0.3</f>
        <v>28.388999999999999</v>
      </c>
      <c r="W6" s="8" t="e">
        <f t="shared" ref="W6:W207" si="14">(V6+H6)*A6</f>
        <v>#VALUE!</v>
      </c>
      <c r="X6" s="8">
        <v>118.29</v>
      </c>
      <c r="Y6" s="8">
        <f t="shared" ref="Y6:Y167" si="15">X6*0.3</f>
        <v>35.487000000000002</v>
      </c>
      <c r="Z6" s="8" t="e">
        <f t="shared" ref="Z6:Z207" si="16">(Y6+H6)*A6</f>
        <v>#VALUE!</v>
      </c>
      <c r="AA6" s="8">
        <v>105.63</v>
      </c>
      <c r="AB6" s="8">
        <f t="shared" ref="AB6:AB167" si="17">AA6*0.3</f>
        <v>31.688999999999997</v>
      </c>
      <c r="AC6" s="8" t="e">
        <f t="shared" ref="AC6:AC207" si="18">(AB6+H6)*A6</f>
        <v>#VALUE!</v>
      </c>
      <c r="AD6" s="8">
        <v>116.57</v>
      </c>
      <c r="AE6" s="8">
        <f t="shared" ref="AE6:AE167" si="19">AD6*0.3</f>
        <v>34.970999999999997</v>
      </c>
      <c r="AF6" s="9" t="e">
        <f t="shared" ref="AF6:AF207" si="20">(AE6+H6)*A6</f>
        <v>#VALUE!</v>
      </c>
    </row>
    <row r="7" spans="1:32" x14ac:dyDescent="0.3">
      <c r="A7" s="6"/>
      <c r="B7" s="7" t="s">
        <v>22</v>
      </c>
      <c r="C7" s="7" t="s">
        <v>21</v>
      </c>
      <c r="D7" s="8">
        <v>298.43</v>
      </c>
      <c r="E7" s="8">
        <f t="shared" si="0"/>
        <v>89.528999999999996</v>
      </c>
      <c r="F7" s="8">
        <f t="shared" si="1"/>
        <v>0</v>
      </c>
      <c r="G7" s="8">
        <v>222.79</v>
      </c>
      <c r="H7" s="8">
        <f t="shared" si="2"/>
        <v>66.836999999999989</v>
      </c>
      <c r="I7" s="8">
        <v>97.25</v>
      </c>
      <c r="J7" s="8">
        <f t="shared" si="3"/>
        <v>29.174999999999997</v>
      </c>
      <c r="K7" s="8">
        <f t="shared" si="4"/>
        <v>0</v>
      </c>
      <c r="L7" s="8">
        <v>78.91</v>
      </c>
      <c r="M7" s="8">
        <f t="shared" si="5"/>
        <v>20.5166</v>
      </c>
      <c r="N7" s="8">
        <f t="shared" si="6"/>
        <v>0</v>
      </c>
      <c r="O7" s="8">
        <v>77.91</v>
      </c>
      <c r="P7" s="8">
        <f t="shared" si="7"/>
        <v>23.372999999999998</v>
      </c>
      <c r="Q7" s="8">
        <f t="shared" si="8"/>
        <v>0</v>
      </c>
      <c r="R7" s="8">
        <f t="shared" si="9"/>
        <v>78.91</v>
      </c>
      <c r="S7" s="8">
        <f t="shared" si="10"/>
        <v>23.672999999999998</v>
      </c>
      <c r="T7" s="8">
        <f t="shared" si="11"/>
        <v>0</v>
      </c>
      <c r="U7" s="8">
        <f t="shared" si="12"/>
        <v>78.91</v>
      </c>
      <c r="V7" s="8">
        <f t="shared" si="13"/>
        <v>23.672999999999998</v>
      </c>
      <c r="W7" s="8">
        <f t="shared" si="14"/>
        <v>0</v>
      </c>
      <c r="X7" s="8">
        <v>170.16</v>
      </c>
      <c r="Y7" s="8">
        <f t="shared" si="15"/>
        <v>51.047999999999995</v>
      </c>
      <c r="Z7" s="8">
        <f t="shared" si="16"/>
        <v>0</v>
      </c>
      <c r="AA7" s="8">
        <v>93.32</v>
      </c>
      <c r="AB7" s="8">
        <f t="shared" si="17"/>
        <v>27.995999999999999</v>
      </c>
      <c r="AC7" s="8">
        <f t="shared" si="18"/>
        <v>0</v>
      </c>
      <c r="AD7" s="8">
        <v>112.77</v>
      </c>
      <c r="AE7" s="8">
        <f t="shared" si="19"/>
        <v>33.830999999999996</v>
      </c>
      <c r="AF7" s="9">
        <f t="shared" si="20"/>
        <v>0</v>
      </c>
    </row>
    <row r="8" spans="1:32" x14ac:dyDescent="0.3">
      <c r="A8" s="6"/>
      <c r="B8" s="7" t="s">
        <v>23</v>
      </c>
      <c r="C8" s="7" t="s">
        <v>24</v>
      </c>
      <c r="D8" s="8">
        <v>332.88</v>
      </c>
      <c r="E8" s="8">
        <f t="shared" si="0"/>
        <v>99.86399999999999</v>
      </c>
      <c r="F8" s="8">
        <f t="shared" si="1"/>
        <v>0</v>
      </c>
      <c r="G8" s="8">
        <v>248.42</v>
      </c>
      <c r="H8" s="8">
        <f t="shared" si="2"/>
        <v>74.525999999999996</v>
      </c>
      <c r="I8" s="8">
        <v>108.39</v>
      </c>
      <c r="J8" s="8">
        <f t="shared" si="3"/>
        <v>32.516999999999996</v>
      </c>
      <c r="K8" s="8">
        <f t="shared" si="4"/>
        <v>0</v>
      </c>
      <c r="L8" s="8">
        <v>88.08</v>
      </c>
      <c r="M8" s="8">
        <f t="shared" si="5"/>
        <v>22.9008</v>
      </c>
      <c r="N8" s="8">
        <f t="shared" si="6"/>
        <v>0</v>
      </c>
      <c r="O8" s="8">
        <v>86.99</v>
      </c>
      <c r="P8" s="8">
        <f t="shared" si="7"/>
        <v>26.096999999999998</v>
      </c>
      <c r="Q8" s="8">
        <f t="shared" si="8"/>
        <v>0</v>
      </c>
      <c r="R8" s="8">
        <f t="shared" si="9"/>
        <v>88.08</v>
      </c>
      <c r="S8" s="8">
        <f t="shared" si="10"/>
        <v>26.423999999999999</v>
      </c>
      <c r="T8" s="8">
        <f t="shared" si="11"/>
        <v>0</v>
      </c>
      <c r="U8" s="8">
        <f t="shared" si="12"/>
        <v>88.08</v>
      </c>
      <c r="V8" s="8">
        <f t="shared" si="13"/>
        <v>26.423999999999999</v>
      </c>
      <c r="W8" s="8">
        <f t="shared" si="14"/>
        <v>0</v>
      </c>
      <c r="X8" s="8">
        <v>204.62</v>
      </c>
      <c r="Y8" s="8">
        <f t="shared" si="15"/>
        <v>61.385999999999996</v>
      </c>
      <c r="Z8" s="8">
        <f t="shared" si="16"/>
        <v>0</v>
      </c>
      <c r="AA8" s="8">
        <v>103.79</v>
      </c>
      <c r="AB8" s="8">
        <f t="shared" si="17"/>
        <v>31.137</v>
      </c>
      <c r="AC8" s="8">
        <f t="shared" si="18"/>
        <v>0</v>
      </c>
      <c r="AD8" s="8">
        <v>118.21</v>
      </c>
      <c r="AE8" s="8">
        <f t="shared" si="19"/>
        <v>35.462999999999994</v>
      </c>
      <c r="AF8" s="9">
        <f t="shared" si="20"/>
        <v>0</v>
      </c>
    </row>
    <row r="9" spans="1:32" x14ac:dyDescent="0.3">
      <c r="A9" s="6"/>
      <c r="B9" s="7" t="s">
        <v>25</v>
      </c>
      <c r="C9" s="7" t="s">
        <v>26</v>
      </c>
      <c r="D9" s="8">
        <v>358.35</v>
      </c>
      <c r="E9" s="8">
        <f t="shared" si="0"/>
        <v>107.50500000000001</v>
      </c>
      <c r="F9" s="8">
        <f t="shared" si="1"/>
        <v>0</v>
      </c>
      <c r="G9" s="8">
        <v>259.60000000000002</v>
      </c>
      <c r="H9" s="8">
        <f t="shared" si="2"/>
        <v>77.88000000000001</v>
      </c>
      <c r="I9" s="8">
        <v>125.22</v>
      </c>
      <c r="J9" s="8">
        <f t="shared" si="3"/>
        <v>37.565999999999995</v>
      </c>
      <c r="K9" s="8">
        <f t="shared" si="4"/>
        <v>0</v>
      </c>
      <c r="L9" s="8">
        <v>103.15</v>
      </c>
      <c r="M9" s="8">
        <f t="shared" si="5"/>
        <v>26.819000000000003</v>
      </c>
      <c r="N9" s="8">
        <f t="shared" si="6"/>
        <v>0</v>
      </c>
      <c r="O9" s="8">
        <v>101.86</v>
      </c>
      <c r="P9" s="8">
        <f t="shared" si="7"/>
        <v>30.558</v>
      </c>
      <c r="Q9" s="8">
        <f t="shared" si="8"/>
        <v>0</v>
      </c>
      <c r="R9" s="8">
        <f t="shared" si="9"/>
        <v>103.15</v>
      </c>
      <c r="S9" s="8">
        <f t="shared" si="10"/>
        <v>30.945</v>
      </c>
      <c r="T9" s="8">
        <f t="shared" si="11"/>
        <v>0</v>
      </c>
      <c r="U9" s="8">
        <f t="shared" si="12"/>
        <v>103.15</v>
      </c>
      <c r="V9" s="8">
        <f t="shared" si="13"/>
        <v>30.945</v>
      </c>
      <c r="W9" s="8">
        <f t="shared" si="14"/>
        <v>0</v>
      </c>
      <c r="X9" s="8">
        <v>239.07</v>
      </c>
      <c r="Y9" s="8">
        <f t="shared" si="15"/>
        <v>71.720999999999989</v>
      </c>
      <c r="Z9" s="8">
        <f t="shared" si="16"/>
        <v>0</v>
      </c>
      <c r="AA9" s="8">
        <v>121.54</v>
      </c>
      <c r="AB9" s="8">
        <f t="shared" si="17"/>
        <v>36.462000000000003</v>
      </c>
      <c r="AC9" s="8">
        <f t="shared" si="18"/>
        <v>0</v>
      </c>
      <c r="AD9" s="8">
        <v>135.44</v>
      </c>
      <c r="AE9" s="8">
        <f t="shared" si="19"/>
        <v>40.631999999999998</v>
      </c>
      <c r="AF9" s="9">
        <f t="shared" si="20"/>
        <v>0</v>
      </c>
    </row>
    <row r="10" spans="1:32" x14ac:dyDescent="0.3">
      <c r="A10" s="6"/>
      <c r="B10" s="7" t="s">
        <v>27</v>
      </c>
      <c r="C10" s="7" t="s">
        <v>28</v>
      </c>
      <c r="D10" s="8">
        <v>383.05</v>
      </c>
      <c r="E10" s="8">
        <f t="shared" si="0"/>
        <v>114.91500000000001</v>
      </c>
      <c r="F10" s="8">
        <f t="shared" si="1"/>
        <v>0</v>
      </c>
      <c r="G10" s="8">
        <v>272.56</v>
      </c>
      <c r="H10" s="8">
        <f t="shared" si="2"/>
        <v>81.768000000000001</v>
      </c>
      <c r="I10" s="8">
        <v>130.19</v>
      </c>
      <c r="J10" s="8">
        <f t="shared" si="3"/>
        <v>39.056999999999995</v>
      </c>
      <c r="K10" s="8">
        <f t="shared" si="4"/>
        <v>0</v>
      </c>
      <c r="L10" s="8">
        <v>114.93</v>
      </c>
      <c r="M10" s="8">
        <f t="shared" si="5"/>
        <v>29.881800000000002</v>
      </c>
      <c r="N10" s="8">
        <f t="shared" si="6"/>
        <v>0</v>
      </c>
      <c r="O10" s="8">
        <v>113.46</v>
      </c>
      <c r="P10" s="8">
        <f t="shared" si="7"/>
        <v>34.037999999999997</v>
      </c>
      <c r="Q10" s="8">
        <f t="shared" si="8"/>
        <v>0</v>
      </c>
      <c r="R10" s="8">
        <f t="shared" si="9"/>
        <v>114.93</v>
      </c>
      <c r="S10" s="8">
        <f t="shared" si="10"/>
        <v>34.478999999999999</v>
      </c>
      <c r="T10" s="8">
        <f t="shared" si="11"/>
        <v>0</v>
      </c>
      <c r="U10" s="8">
        <f t="shared" si="12"/>
        <v>114.93</v>
      </c>
      <c r="V10" s="8">
        <f t="shared" si="13"/>
        <v>34.478999999999999</v>
      </c>
      <c r="W10" s="8">
        <f t="shared" si="14"/>
        <v>0</v>
      </c>
      <c r="X10" s="8">
        <v>273.52999999999997</v>
      </c>
      <c r="Y10" s="8">
        <f t="shared" si="15"/>
        <v>82.058999999999983</v>
      </c>
      <c r="Z10" s="8">
        <f t="shared" si="16"/>
        <v>0</v>
      </c>
      <c r="AA10" s="8">
        <v>128.02000000000001</v>
      </c>
      <c r="AB10" s="8">
        <f t="shared" si="17"/>
        <v>38.405999999999999</v>
      </c>
      <c r="AC10" s="8">
        <f t="shared" si="18"/>
        <v>0</v>
      </c>
      <c r="AD10" s="8">
        <v>150.30000000000001</v>
      </c>
      <c r="AE10" s="8">
        <f t="shared" si="19"/>
        <v>45.09</v>
      </c>
      <c r="AF10" s="9">
        <f t="shared" si="20"/>
        <v>0</v>
      </c>
    </row>
    <row r="11" spans="1:32" x14ac:dyDescent="0.3">
      <c r="A11" s="6"/>
      <c r="B11" s="7" t="s">
        <v>29</v>
      </c>
      <c r="C11" s="7" t="s">
        <v>30</v>
      </c>
      <c r="D11" s="8">
        <v>416.24</v>
      </c>
      <c r="E11" s="8">
        <f t="shared" si="0"/>
        <v>124.872</v>
      </c>
      <c r="F11" s="8">
        <f t="shared" si="1"/>
        <v>0</v>
      </c>
      <c r="G11" s="8">
        <v>275.88</v>
      </c>
      <c r="H11" s="8">
        <f t="shared" si="2"/>
        <v>82.763999999999996</v>
      </c>
      <c r="I11" s="8">
        <v>169.75</v>
      </c>
      <c r="J11" s="8">
        <f t="shared" si="3"/>
        <v>50.924999999999997</v>
      </c>
      <c r="K11" s="8">
        <f t="shared" si="4"/>
        <v>0</v>
      </c>
      <c r="L11" s="8">
        <v>144.72999999999999</v>
      </c>
      <c r="M11" s="8">
        <f t="shared" si="5"/>
        <v>37.629799999999996</v>
      </c>
      <c r="N11" s="8">
        <f t="shared" si="6"/>
        <v>0</v>
      </c>
      <c r="O11" s="8">
        <v>142.85</v>
      </c>
      <c r="P11" s="8">
        <f t="shared" si="7"/>
        <v>42.854999999999997</v>
      </c>
      <c r="Q11" s="8">
        <f t="shared" si="8"/>
        <v>0</v>
      </c>
      <c r="R11" s="8">
        <f t="shared" si="9"/>
        <v>144.72999999999999</v>
      </c>
      <c r="S11" s="8">
        <f t="shared" si="10"/>
        <v>43.418999999999997</v>
      </c>
      <c r="T11" s="8">
        <f t="shared" si="11"/>
        <v>0</v>
      </c>
      <c r="U11" s="8">
        <f t="shared" si="12"/>
        <v>144.72999999999999</v>
      </c>
      <c r="V11" s="8">
        <f t="shared" si="13"/>
        <v>43.418999999999997</v>
      </c>
      <c r="W11" s="8">
        <f t="shared" si="14"/>
        <v>0</v>
      </c>
      <c r="X11" s="8">
        <v>307.99</v>
      </c>
      <c r="Y11" s="8">
        <f t="shared" si="15"/>
        <v>92.397000000000006</v>
      </c>
      <c r="Z11" s="8">
        <f t="shared" si="16"/>
        <v>0</v>
      </c>
      <c r="AA11" s="8">
        <v>161.59</v>
      </c>
      <c r="AB11" s="8">
        <f t="shared" si="17"/>
        <v>48.476999999999997</v>
      </c>
      <c r="AC11" s="8">
        <f t="shared" si="18"/>
        <v>0</v>
      </c>
      <c r="AD11" s="8">
        <v>183.04</v>
      </c>
      <c r="AE11" s="8">
        <f t="shared" si="19"/>
        <v>54.911999999999999</v>
      </c>
      <c r="AF11" s="9">
        <f t="shared" si="20"/>
        <v>0</v>
      </c>
    </row>
    <row r="12" spans="1:32" x14ac:dyDescent="0.3">
      <c r="A12" s="6"/>
      <c r="B12" s="7" t="s">
        <v>31</v>
      </c>
      <c r="C12" s="7" t="s">
        <v>32</v>
      </c>
      <c r="D12" s="8">
        <v>465.82</v>
      </c>
      <c r="E12" s="8">
        <f t="shared" si="0"/>
        <v>139.74599999999998</v>
      </c>
      <c r="F12" s="8">
        <f t="shared" si="1"/>
        <v>0</v>
      </c>
      <c r="G12" s="8">
        <v>298.24</v>
      </c>
      <c r="H12" s="8">
        <f t="shared" si="2"/>
        <v>89.471999999999994</v>
      </c>
      <c r="I12" s="8">
        <v>190.71</v>
      </c>
      <c r="J12" s="8">
        <f t="shared" si="3"/>
        <v>57.213000000000001</v>
      </c>
      <c r="K12" s="8">
        <f t="shared" si="4"/>
        <v>0</v>
      </c>
      <c r="L12" s="8">
        <v>172.57</v>
      </c>
      <c r="M12" s="8">
        <f t="shared" si="5"/>
        <v>44.868200000000002</v>
      </c>
      <c r="N12" s="8">
        <f t="shared" si="6"/>
        <v>0</v>
      </c>
      <c r="O12" s="8">
        <v>170.35</v>
      </c>
      <c r="P12" s="8">
        <f t="shared" si="7"/>
        <v>51.104999999999997</v>
      </c>
      <c r="Q12" s="8">
        <f t="shared" si="8"/>
        <v>0</v>
      </c>
      <c r="R12" s="8">
        <f t="shared" si="9"/>
        <v>172.57</v>
      </c>
      <c r="S12" s="8">
        <f t="shared" si="10"/>
        <v>51.770999999999994</v>
      </c>
      <c r="T12" s="8">
        <f t="shared" si="11"/>
        <v>0</v>
      </c>
      <c r="U12" s="8">
        <f t="shared" si="12"/>
        <v>172.57</v>
      </c>
      <c r="V12" s="8">
        <f t="shared" si="13"/>
        <v>51.770999999999994</v>
      </c>
      <c r="W12" s="8">
        <f t="shared" si="14"/>
        <v>0</v>
      </c>
      <c r="X12" s="8">
        <v>371.62</v>
      </c>
      <c r="Y12" s="8">
        <f t="shared" si="15"/>
        <v>111.486</v>
      </c>
      <c r="Z12" s="8">
        <f t="shared" si="16"/>
        <v>0</v>
      </c>
      <c r="AA12" s="8">
        <v>182.56</v>
      </c>
      <c r="AB12" s="8">
        <f t="shared" si="17"/>
        <v>54.768000000000001</v>
      </c>
      <c r="AC12" s="8">
        <f t="shared" si="18"/>
        <v>0</v>
      </c>
      <c r="AD12" s="8">
        <v>214.8</v>
      </c>
      <c r="AE12" s="8">
        <f t="shared" si="19"/>
        <v>64.44</v>
      </c>
      <c r="AF12" s="9">
        <f t="shared" si="20"/>
        <v>0</v>
      </c>
    </row>
    <row r="13" spans="1:32" x14ac:dyDescent="0.3">
      <c r="A13" s="6"/>
      <c r="B13" s="7" t="s">
        <v>33</v>
      </c>
      <c r="C13" s="7" t="s">
        <v>34</v>
      </c>
      <c r="D13" s="8">
        <v>485.66</v>
      </c>
      <c r="E13" s="8">
        <f t="shared" si="0"/>
        <v>145.69800000000001</v>
      </c>
      <c r="F13" s="8">
        <f t="shared" si="1"/>
        <v>0</v>
      </c>
      <c r="G13" s="8">
        <v>304.60000000000002</v>
      </c>
      <c r="H13" s="8">
        <f t="shared" si="2"/>
        <v>91.38000000000001</v>
      </c>
      <c r="I13" s="8">
        <v>216.24</v>
      </c>
      <c r="J13" s="8">
        <f t="shared" si="3"/>
        <v>64.872</v>
      </c>
      <c r="K13" s="8">
        <f t="shared" si="4"/>
        <v>0</v>
      </c>
      <c r="L13" s="8">
        <v>186.31</v>
      </c>
      <c r="M13" s="8">
        <f t="shared" si="5"/>
        <v>48.440600000000003</v>
      </c>
      <c r="N13" s="8">
        <f t="shared" si="6"/>
        <v>0</v>
      </c>
      <c r="O13" s="8">
        <v>183.91</v>
      </c>
      <c r="P13" s="8">
        <f t="shared" si="7"/>
        <v>55.172999999999995</v>
      </c>
      <c r="Q13" s="8">
        <f t="shared" si="8"/>
        <v>0</v>
      </c>
      <c r="R13" s="8">
        <f t="shared" si="9"/>
        <v>186.31</v>
      </c>
      <c r="S13" s="8">
        <f t="shared" si="10"/>
        <v>55.893000000000001</v>
      </c>
      <c r="T13" s="8">
        <f t="shared" si="11"/>
        <v>0</v>
      </c>
      <c r="U13" s="8">
        <f t="shared" si="12"/>
        <v>186.31</v>
      </c>
      <c r="V13" s="8">
        <f t="shared" si="13"/>
        <v>55.893000000000001</v>
      </c>
      <c r="W13" s="8">
        <f t="shared" si="14"/>
        <v>0</v>
      </c>
      <c r="X13" s="8">
        <v>406.06</v>
      </c>
      <c r="Y13" s="8">
        <f t="shared" si="15"/>
        <v>121.818</v>
      </c>
      <c r="Z13" s="8">
        <f t="shared" si="16"/>
        <v>0</v>
      </c>
      <c r="AA13" s="8">
        <v>202.85</v>
      </c>
      <c r="AB13" s="8">
        <f t="shared" si="17"/>
        <v>60.854999999999997</v>
      </c>
      <c r="AC13" s="8">
        <f t="shared" si="18"/>
        <v>0</v>
      </c>
      <c r="AD13" s="8">
        <v>230.19</v>
      </c>
      <c r="AE13" s="8">
        <f t="shared" si="19"/>
        <v>69.057000000000002</v>
      </c>
      <c r="AF13" s="9">
        <f t="shared" si="20"/>
        <v>0</v>
      </c>
    </row>
    <row r="14" spans="1:32" x14ac:dyDescent="0.3">
      <c r="A14" s="6"/>
      <c r="B14" s="7" t="s">
        <v>35</v>
      </c>
      <c r="C14" s="7" t="s">
        <v>36</v>
      </c>
      <c r="D14" s="8">
        <v>541.39</v>
      </c>
      <c r="E14" s="8">
        <f t="shared" si="0"/>
        <v>162.417</v>
      </c>
      <c r="F14" s="8">
        <f t="shared" si="1"/>
        <v>0</v>
      </c>
      <c r="G14" s="8">
        <v>335.39</v>
      </c>
      <c r="H14" s="8">
        <f t="shared" si="2"/>
        <v>100.61699999999999</v>
      </c>
      <c r="I14" s="8">
        <v>244.6</v>
      </c>
      <c r="J14" s="8">
        <f t="shared" si="3"/>
        <v>73.38</v>
      </c>
      <c r="K14" s="8">
        <f t="shared" si="4"/>
        <v>0</v>
      </c>
      <c r="L14" s="8">
        <v>211.85</v>
      </c>
      <c r="M14" s="8">
        <f t="shared" si="5"/>
        <v>55.081000000000003</v>
      </c>
      <c r="N14" s="8">
        <f t="shared" si="6"/>
        <v>0</v>
      </c>
      <c r="O14" s="8">
        <v>209.16</v>
      </c>
      <c r="P14" s="8">
        <f t="shared" si="7"/>
        <v>62.747999999999998</v>
      </c>
      <c r="Q14" s="8">
        <f t="shared" si="8"/>
        <v>0</v>
      </c>
      <c r="R14" s="8">
        <f t="shared" si="9"/>
        <v>211.85</v>
      </c>
      <c r="S14" s="8">
        <f t="shared" si="10"/>
        <v>63.554999999999993</v>
      </c>
      <c r="T14" s="8">
        <f t="shared" si="11"/>
        <v>0</v>
      </c>
      <c r="U14" s="8">
        <f t="shared" si="12"/>
        <v>211.85</v>
      </c>
      <c r="V14" s="8">
        <f t="shared" si="13"/>
        <v>63.554999999999993</v>
      </c>
      <c r="W14" s="8">
        <f t="shared" si="14"/>
        <v>0</v>
      </c>
      <c r="X14" s="8">
        <v>440.52</v>
      </c>
      <c r="Y14" s="8">
        <f t="shared" si="15"/>
        <v>132.15599999999998</v>
      </c>
      <c r="Z14" s="8">
        <f t="shared" si="16"/>
        <v>0</v>
      </c>
      <c r="AA14" s="8">
        <v>229.87</v>
      </c>
      <c r="AB14" s="8">
        <f t="shared" si="17"/>
        <v>68.960999999999999</v>
      </c>
      <c r="AC14" s="8">
        <f t="shared" si="18"/>
        <v>0</v>
      </c>
      <c r="AD14" s="8">
        <v>261.62</v>
      </c>
      <c r="AE14" s="8">
        <f t="shared" si="19"/>
        <v>78.486000000000004</v>
      </c>
      <c r="AF14" s="9">
        <f t="shared" si="20"/>
        <v>0</v>
      </c>
    </row>
    <row r="15" spans="1:32" x14ac:dyDescent="0.3">
      <c r="A15" s="6"/>
      <c r="B15" s="7" t="s">
        <v>37</v>
      </c>
      <c r="C15" s="7" t="s">
        <v>38</v>
      </c>
      <c r="D15" s="8">
        <v>629.54</v>
      </c>
      <c r="E15" s="8">
        <f t="shared" si="0"/>
        <v>188.86199999999999</v>
      </c>
      <c r="F15" s="8">
        <f t="shared" si="1"/>
        <v>0</v>
      </c>
      <c r="G15" s="8">
        <v>416.16</v>
      </c>
      <c r="H15" s="8">
        <f t="shared" si="2"/>
        <v>124.848</v>
      </c>
      <c r="I15" s="8">
        <v>258.35000000000002</v>
      </c>
      <c r="J15" s="8">
        <f t="shared" si="3"/>
        <v>77.50500000000001</v>
      </c>
      <c r="K15" s="8">
        <f t="shared" si="4"/>
        <v>0</v>
      </c>
      <c r="L15" s="8">
        <v>220.37</v>
      </c>
      <c r="M15" s="8">
        <f t="shared" si="5"/>
        <v>57.296200000000006</v>
      </c>
      <c r="N15" s="8">
        <f t="shared" si="6"/>
        <v>0</v>
      </c>
      <c r="O15" s="8">
        <v>217.56</v>
      </c>
      <c r="P15" s="8">
        <f t="shared" si="7"/>
        <v>65.268000000000001</v>
      </c>
      <c r="Q15" s="8">
        <f t="shared" si="8"/>
        <v>0</v>
      </c>
      <c r="R15" s="8">
        <f t="shared" si="9"/>
        <v>220.37</v>
      </c>
      <c r="S15" s="8">
        <f t="shared" si="10"/>
        <v>66.111000000000004</v>
      </c>
      <c r="T15" s="8">
        <f t="shared" si="11"/>
        <v>0</v>
      </c>
      <c r="U15" s="8">
        <f t="shared" si="12"/>
        <v>220.37</v>
      </c>
      <c r="V15" s="8">
        <f t="shared" si="13"/>
        <v>66.111000000000004</v>
      </c>
      <c r="W15" s="8">
        <f t="shared" si="14"/>
        <v>0</v>
      </c>
      <c r="X15" s="8">
        <v>474.98</v>
      </c>
      <c r="Y15" s="8">
        <f t="shared" si="15"/>
        <v>142.494</v>
      </c>
      <c r="Z15" s="8">
        <f t="shared" si="16"/>
        <v>0</v>
      </c>
      <c r="AA15" s="8">
        <v>239.57</v>
      </c>
      <c r="AB15" s="8">
        <f t="shared" si="17"/>
        <v>71.870999999999995</v>
      </c>
      <c r="AC15" s="8">
        <f t="shared" si="18"/>
        <v>0</v>
      </c>
      <c r="AD15" s="8">
        <v>278</v>
      </c>
      <c r="AE15" s="8">
        <f t="shared" si="19"/>
        <v>83.399999999999991</v>
      </c>
      <c r="AF15" s="9">
        <f t="shared" si="20"/>
        <v>0</v>
      </c>
    </row>
    <row r="16" spans="1:32" x14ac:dyDescent="0.3">
      <c r="A16" s="6"/>
      <c r="B16" s="7" t="s">
        <v>39</v>
      </c>
      <c r="C16" s="7" t="s">
        <v>40</v>
      </c>
      <c r="D16" s="8">
        <v>654.16</v>
      </c>
      <c r="E16" s="8">
        <f t="shared" si="0"/>
        <v>196.24799999999999</v>
      </c>
      <c r="F16" s="8">
        <f t="shared" si="1"/>
        <v>0</v>
      </c>
      <c r="G16" s="8">
        <v>422.16</v>
      </c>
      <c r="H16" s="8">
        <f t="shared" si="2"/>
        <v>126.648</v>
      </c>
      <c r="I16" s="8">
        <v>278.64999999999998</v>
      </c>
      <c r="J16" s="8">
        <f t="shared" si="3"/>
        <v>83.594999999999985</v>
      </c>
      <c r="K16" s="8">
        <f t="shared" si="4"/>
        <v>0</v>
      </c>
      <c r="L16" s="8">
        <v>239.37</v>
      </c>
      <c r="M16" s="8">
        <f t="shared" si="5"/>
        <v>62.236200000000004</v>
      </c>
      <c r="N16" s="8">
        <f t="shared" si="6"/>
        <v>0</v>
      </c>
      <c r="O16" s="8">
        <v>236.3</v>
      </c>
      <c r="P16" s="8">
        <f t="shared" si="7"/>
        <v>70.89</v>
      </c>
      <c r="Q16" s="8">
        <f t="shared" si="8"/>
        <v>0</v>
      </c>
      <c r="R16" s="8">
        <f t="shared" si="9"/>
        <v>239.37</v>
      </c>
      <c r="S16" s="8">
        <f t="shared" si="10"/>
        <v>71.810999999999993</v>
      </c>
      <c r="T16" s="8">
        <f t="shared" si="11"/>
        <v>0</v>
      </c>
      <c r="U16" s="8">
        <f t="shared" si="12"/>
        <v>239.37</v>
      </c>
      <c r="V16" s="8">
        <f t="shared" si="13"/>
        <v>71.810999999999993</v>
      </c>
      <c r="W16" s="8">
        <f t="shared" si="14"/>
        <v>0</v>
      </c>
      <c r="X16" s="8">
        <v>509.44</v>
      </c>
      <c r="Y16" s="8">
        <f t="shared" si="15"/>
        <v>152.83199999999999</v>
      </c>
      <c r="Z16" s="8">
        <f t="shared" si="16"/>
        <v>0</v>
      </c>
      <c r="AA16" s="8">
        <v>259.86</v>
      </c>
      <c r="AB16" s="8">
        <f t="shared" si="17"/>
        <v>77.957999999999998</v>
      </c>
      <c r="AC16" s="8">
        <f t="shared" si="18"/>
        <v>0</v>
      </c>
      <c r="AD16" s="8">
        <v>298.95</v>
      </c>
      <c r="AE16" s="8">
        <f t="shared" si="19"/>
        <v>89.684999999999988</v>
      </c>
      <c r="AF16" s="9">
        <f t="shared" si="20"/>
        <v>0</v>
      </c>
    </row>
    <row r="17" spans="1:32" x14ac:dyDescent="0.3">
      <c r="A17" s="6"/>
      <c r="B17" s="7" t="s">
        <v>41</v>
      </c>
      <c r="C17" s="7" t="s">
        <v>42</v>
      </c>
      <c r="D17" s="8">
        <v>706.16</v>
      </c>
      <c r="E17" s="8">
        <f t="shared" si="0"/>
        <v>211.84799999999998</v>
      </c>
      <c r="F17" s="8">
        <f t="shared" si="1"/>
        <v>0</v>
      </c>
      <c r="G17" s="8">
        <v>455.76</v>
      </c>
      <c r="H17" s="8">
        <f t="shared" si="2"/>
        <v>136.72799999999998</v>
      </c>
      <c r="I17" s="8">
        <v>288.54000000000002</v>
      </c>
      <c r="J17" s="8">
        <f t="shared" si="3"/>
        <v>86.561999999999998</v>
      </c>
      <c r="K17" s="8">
        <f t="shared" si="4"/>
        <v>0</v>
      </c>
      <c r="L17" s="8">
        <v>259</v>
      </c>
      <c r="M17" s="8">
        <f t="shared" si="5"/>
        <v>67.34</v>
      </c>
      <c r="N17" s="8">
        <f t="shared" si="6"/>
        <v>0</v>
      </c>
      <c r="O17" s="8"/>
      <c r="P17" s="8">
        <f t="shared" si="7"/>
        <v>0</v>
      </c>
      <c r="Q17" s="8">
        <f t="shared" si="8"/>
        <v>0</v>
      </c>
      <c r="R17" s="8">
        <f t="shared" si="9"/>
        <v>259</v>
      </c>
      <c r="S17" s="8">
        <f t="shared" si="10"/>
        <v>77.7</v>
      </c>
      <c r="T17" s="8">
        <f t="shared" si="11"/>
        <v>0</v>
      </c>
      <c r="U17" s="8">
        <f t="shared" si="12"/>
        <v>259</v>
      </c>
      <c r="V17" s="8">
        <f t="shared" si="13"/>
        <v>77.7</v>
      </c>
      <c r="W17" s="8">
        <f t="shared" si="14"/>
        <v>0</v>
      </c>
      <c r="X17" s="8"/>
      <c r="Y17" s="8">
        <f t="shared" si="15"/>
        <v>0</v>
      </c>
      <c r="Z17" s="8">
        <f t="shared" si="16"/>
        <v>0</v>
      </c>
      <c r="AA17" s="8">
        <v>305.99</v>
      </c>
      <c r="AB17" s="8">
        <f t="shared" si="17"/>
        <v>91.796999999999997</v>
      </c>
      <c r="AC17" s="8">
        <f t="shared" si="18"/>
        <v>0</v>
      </c>
      <c r="AD17" s="8">
        <v>341.87</v>
      </c>
      <c r="AE17" s="8">
        <f t="shared" si="19"/>
        <v>102.56099999999999</v>
      </c>
      <c r="AF17" s="9">
        <f t="shared" si="20"/>
        <v>0</v>
      </c>
    </row>
    <row r="18" spans="1:32" x14ac:dyDescent="0.3">
      <c r="A18" s="6"/>
      <c r="B18" s="7" t="s">
        <v>43</v>
      </c>
      <c r="C18" s="7" t="s">
        <v>44</v>
      </c>
      <c r="D18" s="8">
        <v>734.25</v>
      </c>
      <c r="E18" s="8">
        <f t="shared" si="0"/>
        <v>220.27500000000001</v>
      </c>
      <c r="F18" s="8">
        <f t="shared" si="1"/>
        <v>0</v>
      </c>
      <c r="G18" s="8">
        <v>460.38</v>
      </c>
      <c r="H18" s="8">
        <f t="shared" si="2"/>
        <v>138.114</v>
      </c>
      <c r="I18" s="8">
        <v>318.99</v>
      </c>
      <c r="J18" s="8">
        <f t="shared" si="3"/>
        <v>95.697000000000003</v>
      </c>
      <c r="K18" s="8">
        <f t="shared" si="4"/>
        <v>0</v>
      </c>
      <c r="L18" s="8">
        <v>281.93</v>
      </c>
      <c r="M18" s="8">
        <f t="shared" si="5"/>
        <v>73.3018</v>
      </c>
      <c r="N18" s="8">
        <f t="shared" si="6"/>
        <v>0</v>
      </c>
      <c r="O18" s="8">
        <v>278.33</v>
      </c>
      <c r="P18" s="8">
        <f t="shared" si="7"/>
        <v>83.498999999999995</v>
      </c>
      <c r="Q18" s="8">
        <f t="shared" si="8"/>
        <v>0</v>
      </c>
      <c r="R18" s="8">
        <f t="shared" si="9"/>
        <v>281.93</v>
      </c>
      <c r="S18" s="8">
        <f t="shared" si="10"/>
        <v>84.578999999999994</v>
      </c>
      <c r="T18" s="8">
        <f t="shared" si="11"/>
        <v>0</v>
      </c>
      <c r="U18" s="8">
        <f t="shared" si="12"/>
        <v>281.93</v>
      </c>
      <c r="V18" s="8">
        <f t="shared" si="13"/>
        <v>84.578999999999994</v>
      </c>
      <c r="W18" s="8">
        <f t="shared" si="14"/>
        <v>0</v>
      </c>
      <c r="X18" s="8">
        <v>305.99</v>
      </c>
      <c r="Y18" s="8">
        <f t="shared" si="15"/>
        <v>91.796999999999997</v>
      </c>
      <c r="Z18" s="8">
        <f t="shared" si="16"/>
        <v>0</v>
      </c>
      <c r="AA18" s="8">
        <v>305.99</v>
      </c>
      <c r="AB18" s="8">
        <f t="shared" si="17"/>
        <v>91.796999999999997</v>
      </c>
      <c r="AC18" s="8">
        <f t="shared" si="18"/>
        <v>0</v>
      </c>
      <c r="AD18" s="8">
        <v>341.87</v>
      </c>
      <c r="AE18" s="8">
        <f t="shared" si="19"/>
        <v>102.56099999999999</v>
      </c>
      <c r="AF18" s="9">
        <f t="shared" si="20"/>
        <v>0</v>
      </c>
    </row>
    <row r="19" spans="1:32" x14ac:dyDescent="0.3">
      <c r="A19" s="6"/>
      <c r="B19" s="7" t="s">
        <v>45</v>
      </c>
      <c r="C19" s="7" t="s">
        <v>46</v>
      </c>
      <c r="D19" s="8">
        <v>528.82000000000005</v>
      </c>
      <c r="E19" s="8">
        <f t="shared" si="0"/>
        <v>158.64600000000002</v>
      </c>
      <c r="F19" s="8">
        <f t="shared" si="1"/>
        <v>0</v>
      </c>
      <c r="G19" s="8">
        <v>309.47000000000003</v>
      </c>
      <c r="H19" s="8">
        <f t="shared" si="2"/>
        <v>92.841000000000008</v>
      </c>
      <c r="I19" s="8">
        <v>257.7</v>
      </c>
      <c r="J19" s="8">
        <f t="shared" si="3"/>
        <v>77.309999999999988</v>
      </c>
      <c r="K19" s="8">
        <f t="shared" si="4"/>
        <v>0</v>
      </c>
      <c r="L19" s="8">
        <v>225.61</v>
      </c>
      <c r="M19" s="8">
        <f t="shared" si="5"/>
        <v>58.658600000000007</v>
      </c>
      <c r="N19" s="8">
        <f t="shared" si="6"/>
        <v>0</v>
      </c>
      <c r="O19" s="8">
        <v>233.72</v>
      </c>
      <c r="P19" s="8">
        <f t="shared" si="7"/>
        <v>70.116</v>
      </c>
      <c r="Q19" s="8">
        <f t="shared" si="8"/>
        <v>0</v>
      </c>
      <c r="R19" s="8">
        <f t="shared" si="9"/>
        <v>225.61</v>
      </c>
      <c r="S19" s="8">
        <f t="shared" si="10"/>
        <v>67.683000000000007</v>
      </c>
      <c r="T19" s="8">
        <f t="shared" si="11"/>
        <v>0</v>
      </c>
      <c r="U19" s="8">
        <f t="shared" si="12"/>
        <v>225.61</v>
      </c>
      <c r="V19" s="8">
        <f t="shared" si="13"/>
        <v>67.683000000000007</v>
      </c>
      <c r="W19" s="8">
        <f t="shared" si="14"/>
        <v>0</v>
      </c>
      <c r="X19" s="8">
        <v>391.29</v>
      </c>
      <c r="Y19" s="8">
        <f t="shared" si="15"/>
        <v>117.387</v>
      </c>
      <c r="Z19" s="8">
        <f t="shared" si="16"/>
        <v>0</v>
      </c>
      <c r="AA19" s="8">
        <v>243.79</v>
      </c>
      <c r="AB19" s="8">
        <f t="shared" si="17"/>
        <v>73.137</v>
      </c>
      <c r="AC19" s="8">
        <f t="shared" si="18"/>
        <v>0</v>
      </c>
      <c r="AD19" s="8">
        <v>273.42</v>
      </c>
      <c r="AE19" s="8">
        <f t="shared" si="19"/>
        <v>82.025999999999996</v>
      </c>
      <c r="AF19" s="9">
        <f t="shared" si="20"/>
        <v>0</v>
      </c>
    </row>
    <row r="20" spans="1:32" x14ac:dyDescent="0.3">
      <c r="A20" s="6"/>
      <c r="B20" s="7" t="s">
        <v>47</v>
      </c>
      <c r="C20" s="7" t="s">
        <v>48</v>
      </c>
      <c r="D20" s="8">
        <v>555.26</v>
      </c>
      <c r="E20" s="8">
        <f t="shared" si="0"/>
        <v>166.578</v>
      </c>
      <c r="F20" s="8">
        <f t="shared" si="1"/>
        <v>0</v>
      </c>
      <c r="G20" s="8">
        <v>324.95999999999998</v>
      </c>
      <c r="H20" s="8">
        <f t="shared" si="2"/>
        <v>97.487999999999985</v>
      </c>
      <c r="I20" s="8">
        <v>270.14</v>
      </c>
      <c r="J20" s="8">
        <f t="shared" si="3"/>
        <v>81.041999999999987</v>
      </c>
      <c r="K20" s="8">
        <f t="shared" si="4"/>
        <v>0</v>
      </c>
      <c r="L20" s="8">
        <v>236.74</v>
      </c>
      <c r="M20" s="8">
        <f t="shared" si="5"/>
        <v>61.552400000000006</v>
      </c>
      <c r="N20" s="8">
        <f t="shared" si="6"/>
        <v>0</v>
      </c>
      <c r="O20" s="8">
        <v>234.34</v>
      </c>
      <c r="P20" s="8">
        <f t="shared" si="7"/>
        <v>70.301999999999992</v>
      </c>
      <c r="Q20" s="8">
        <f t="shared" si="8"/>
        <v>0</v>
      </c>
      <c r="R20" s="8">
        <f t="shared" si="9"/>
        <v>236.74</v>
      </c>
      <c r="S20" s="8">
        <f t="shared" si="10"/>
        <v>71.022000000000006</v>
      </c>
      <c r="T20" s="8">
        <f t="shared" si="11"/>
        <v>0</v>
      </c>
      <c r="U20" s="8">
        <f t="shared" si="12"/>
        <v>236.74</v>
      </c>
      <c r="V20" s="8">
        <f t="shared" si="13"/>
        <v>71.022000000000006</v>
      </c>
      <c r="W20" s="8">
        <f t="shared" si="14"/>
        <v>0</v>
      </c>
      <c r="X20" s="8"/>
      <c r="Y20" s="8">
        <f t="shared" si="15"/>
        <v>0</v>
      </c>
      <c r="Z20" s="8">
        <f t="shared" si="16"/>
        <v>0</v>
      </c>
      <c r="AA20" s="8">
        <v>256</v>
      </c>
      <c r="AB20" s="8">
        <f t="shared" si="17"/>
        <v>76.8</v>
      </c>
      <c r="AC20" s="8">
        <f t="shared" si="18"/>
        <v>0</v>
      </c>
      <c r="AD20" s="8">
        <v>286.61</v>
      </c>
      <c r="AE20" s="8">
        <f t="shared" si="19"/>
        <v>85.983000000000004</v>
      </c>
      <c r="AF20" s="9">
        <f t="shared" si="20"/>
        <v>0</v>
      </c>
    </row>
    <row r="21" spans="1:32" ht="12.6" customHeight="1" x14ac:dyDescent="0.3">
      <c r="A21" s="6"/>
      <c r="B21" s="7" t="s">
        <v>49</v>
      </c>
      <c r="C21" s="7" t="s">
        <v>50</v>
      </c>
      <c r="D21" s="8">
        <v>570.53</v>
      </c>
      <c r="E21" s="8">
        <f t="shared" si="0"/>
        <v>171.15899999999999</v>
      </c>
      <c r="F21" s="8">
        <f t="shared" si="1"/>
        <v>0</v>
      </c>
      <c r="G21" s="8">
        <v>340</v>
      </c>
      <c r="H21" s="8">
        <f t="shared" si="2"/>
        <v>102</v>
      </c>
      <c r="I21" s="8">
        <v>272.11</v>
      </c>
      <c r="J21" s="8">
        <f t="shared" si="3"/>
        <v>81.632999999999996</v>
      </c>
      <c r="K21" s="8">
        <f t="shared" si="4"/>
        <v>0</v>
      </c>
      <c r="L21" s="8">
        <v>237.39</v>
      </c>
      <c r="M21" s="8">
        <f t="shared" si="5"/>
        <v>61.721399999999996</v>
      </c>
      <c r="N21" s="8">
        <f t="shared" si="6"/>
        <v>0</v>
      </c>
      <c r="O21" s="8">
        <v>234.34</v>
      </c>
      <c r="P21" s="8">
        <f t="shared" si="7"/>
        <v>70.301999999999992</v>
      </c>
      <c r="Q21" s="8">
        <f t="shared" si="8"/>
        <v>0</v>
      </c>
      <c r="R21" s="8">
        <f t="shared" si="9"/>
        <v>237.39</v>
      </c>
      <c r="S21" s="8">
        <f t="shared" si="10"/>
        <v>71.216999999999999</v>
      </c>
      <c r="T21" s="8">
        <f t="shared" si="11"/>
        <v>0</v>
      </c>
      <c r="U21" s="8">
        <f t="shared" si="12"/>
        <v>237.39</v>
      </c>
      <c r="V21" s="8">
        <f t="shared" si="13"/>
        <v>71.216999999999999</v>
      </c>
      <c r="W21" s="8">
        <f t="shared" si="14"/>
        <v>0</v>
      </c>
      <c r="X21" s="8">
        <v>431.89</v>
      </c>
      <c r="Y21" s="8">
        <f t="shared" si="15"/>
        <v>129.56699999999998</v>
      </c>
      <c r="Z21" s="8">
        <f t="shared" si="16"/>
        <v>0</v>
      </c>
      <c r="AA21" s="8">
        <v>256.52999999999997</v>
      </c>
      <c r="AB21" s="8">
        <f t="shared" si="17"/>
        <v>76.958999999999989</v>
      </c>
      <c r="AC21" s="8">
        <f t="shared" si="18"/>
        <v>0</v>
      </c>
      <c r="AD21" s="8">
        <v>288.22000000000003</v>
      </c>
      <c r="AE21" s="8">
        <f t="shared" si="19"/>
        <v>86.466000000000008</v>
      </c>
      <c r="AF21" s="9">
        <f t="shared" si="20"/>
        <v>0</v>
      </c>
    </row>
    <row r="22" spans="1:32" ht="12.6" customHeight="1" x14ac:dyDescent="0.3">
      <c r="A22" s="6"/>
      <c r="B22" s="7" t="s">
        <v>51</v>
      </c>
      <c r="C22" s="7" t="s">
        <v>52</v>
      </c>
      <c r="D22" s="8">
        <v>781.08</v>
      </c>
      <c r="E22" s="8">
        <f t="shared" si="0"/>
        <v>234.32400000000001</v>
      </c>
      <c r="F22" s="8">
        <f t="shared" si="1"/>
        <v>0</v>
      </c>
      <c r="G22" s="8">
        <v>561.48</v>
      </c>
      <c r="H22" s="8">
        <f t="shared" si="2"/>
        <v>168.44399999999999</v>
      </c>
      <c r="I22" s="8">
        <v>274.79000000000002</v>
      </c>
      <c r="J22" s="8">
        <f t="shared" si="3"/>
        <v>82.436999999999998</v>
      </c>
      <c r="K22" s="8">
        <f t="shared" si="4"/>
        <v>0</v>
      </c>
      <c r="L22" s="8">
        <v>228.23</v>
      </c>
      <c r="M22" s="8">
        <f t="shared" si="5"/>
        <v>59.339799999999997</v>
      </c>
      <c r="N22" s="8">
        <f t="shared" si="6"/>
        <v>0</v>
      </c>
      <c r="O22" s="8">
        <v>225.25</v>
      </c>
      <c r="P22" s="8">
        <f t="shared" si="7"/>
        <v>67.575000000000003</v>
      </c>
      <c r="Q22" s="8">
        <f t="shared" si="8"/>
        <v>0</v>
      </c>
      <c r="R22" s="8">
        <f t="shared" si="9"/>
        <v>228.23</v>
      </c>
      <c r="S22" s="8">
        <f t="shared" si="10"/>
        <v>68.468999999999994</v>
      </c>
      <c r="T22" s="8">
        <f t="shared" si="11"/>
        <v>0</v>
      </c>
      <c r="U22" s="8">
        <f t="shared" si="12"/>
        <v>228.23</v>
      </c>
      <c r="V22" s="8">
        <f t="shared" si="13"/>
        <v>68.468999999999994</v>
      </c>
      <c r="W22" s="8">
        <f t="shared" si="14"/>
        <v>0</v>
      </c>
      <c r="X22" s="8">
        <v>269.45</v>
      </c>
      <c r="Y22" s="8">
        <f t="shared" si="15"/>
        <v>80.834999999999994</v>
      </c>
      <c r="Z22" s="8">
        <f t="shared" si="16"/>
        <v>0</v>
      </c>
      <c r="AA22" s="8">
        <v>255.18</v>
      </c>
      <c r="AB22" s="8">
        <f t="shared" si="17"/>
        <v>76.554000000000002</v>
      </c>
      <c r="AC22" s="8">
        <f t="shared" si="18"/>
        <v>0</v>
      </c>
      <c r="AD22" s="8">
        <v>175.8</v>
      </c>
      <c r="AE22" s="8">
        <f t="shared" si="19"/>
        <v>52.74</v>
      </c>
      <c r="AF22" s="9">
        <f t="shared" si="20"/>
        <v>0</v>
      </c>
    </row>
    <row r="23" spans="1:32" ht="12" customHeight="1" x14ac:dyDescent="0.3">
      <c r="A23" s="6"/>
      <c r="B23" s="7" t="s">
        <v>53</v>
      </c>
      <c r="C23" s="7" t="s">
        <v>54</v>
      </c>
      <c r="D23" s="8">
        <v>850.17</v>
      </c>
      <c r="E23" s="8">
        <f t="shared" si="0"/>
        <v>255.05099999999999</v>
      </c>
      <c r="F23" s="8">
        <f t="shared" si="1"/>
        <v>0</v>
      </c>
      <c r="G23" s="8">
        <v>573.35</v>
      </c>
      <c r="H23" s="8">
        <f t="shared" si="2"/>
        <v>172.005</v>
      </c>
      <c r="I23" s="8">
        <v>336.61</v>
      </c>
      <c r="J23" s="8">
        <f t="shared" si="3"/>
        <v>100.983</v>
      </c>
      <c r="K23" s="8">
        <f t="shared" si="4"/>
        <v>0</v>
      </c>
      <c r="L23" s="8">
        <v>285.85000000000002</v>
      </c>
      <c r="M23" s="8">
        <f t="shared" si="5"/>
        <v>74.321000000000012</v>
      </c>
      <c r="N23" s="8">
        <f t="shared" si="6"/>
        <v>0</v>
      </c>
      <c r="O23" s="8">
        <v>282.14</v>
      </c>
      <c r="P23" s="8">
        <f t="shared" si="7"/>
        <v>84.641999999999996</v>
      </c>
      <c r="Q23" s="8">
        <f t="shared" si="8"/>
        <v>0</v>
      </c>
      <c r="R23" s="8">
        <f t="shared" si="9"/>
        <v>285.85000000000002</v>
      </c>
      <c r="S23" s="8">
        <f t="shared" si="10"/>
        <v>85.75500000000001</v>
      </c>
      <c r="T23" s="8">
        <f t="shared" si="11"/>
        <v>0</v>
      </c>
      <c r="U23" s="8">
        <f t="shared" si="12"/>
        <v>285.85000000000002</v>
      </c>
      <c r="V23" s="8">
        <f t="shared" si="13"/>
        <v>85.75500000000001</v>
      </c>
      <c r="W23" s="8">
        <f t="shared" si="14"/>
        <v>0</v>
      </c>
      <c r="X23" s="8">
        <v>325.52999999999997</v>
      </c>
      <c r="Y23" s="8">
        <f t="shared" si="15"/>
        <v>97.658999999999992</v>
      </c>
      <c r="Z23" s="8">
        <f t="shared" si="16"/>
        <v>0</v>
      </c>
      <c r="AA23" s="8">
        <v>314.36</v>
      </c>
      <c r="AB23" s="8">
        <f t="shared" si="17"/>
        <v>94.308000000000007</v>
      </c>
      <c r="AC23" s="8">
        <f t="shared" si="18"/>
        <v>0</v>
      </c>
      <c r="AD23" s="8">
        <v>362.48</v>
      </c>
      <c r="AE23" s="8">
        <f t="shared" si="19"/>
        <v>108.744</v>
      </c>
      <c r="AF23" s="9">
        <f t="shared" si="20"/>
        <v>0</v>
      </c>
    </row>
    <row r="24" spans="1:32" ht="12.6" customHeight="1" x14ac:dyDescent="0.3">
      <c r="A24" s="6"/>
      <c r="B24" s="7" t="s">
        <v>55</v>
      </c>
      <c r="C24" s="7" t="s">
        <v>56</v>
      </c>
      <c r="D24" s="8">
        <v>333.86</v>
      </c>
      <c r="E24" s="8">
        <f t="shared" si="0"/>
        <v>100.158</v>
      </c>
      <c r="F24" s="8">
        <f t="shared" si="1"/>
        <v>0</v>
      </c>
      <c r="G24" s="8"/>
      <c r="H24" s="8">
        <f t="shared" si="2"/>
        <v>0</v>
      </c>
      <c r="I24" s="8">
        <v>353.9</v>
      </c>
      <c r="J24" s="8">
        <f t="shared" si="3"/>
        <v>106.16999999999999</v>
      </c>
      <c r="K24" s="8">
        <f t="shared" si="4"/>
        <v>0</v>
      </c>
      <c r="L24" s="8">
        <v>333.86</v>
      </c>
      <c r="M24" s="8">
        <f t="shared" si="5"/>
        <v>86.803600000000003</v>
      </c>
      <c r="N24" s="8">
        <f t="shared" si="6"/>
        <v>0</v>
      </c>
      <c r="O24" s="8">
        <v>338.22</v>
      </c>
      <c r="P24" s="8">
        <f t="shared" si="7"/>
        <v>101.46600000000001</v>
      </c>
      <c r="Q24" s="8">
        <f t="shared" si="8"/>
        <v>0</v>
      </c>
      <c r="R24" s="8">
        <f t="shared" si="9"/>
        <v>333.86</v>
      </c>
      <c r="S24" s="8">
        <f t="shared" si="10"/>
        <v>100.158</v>
      </c>
      <c r="T24" s="8">
        <f t="shared" si="11"/>
        <v>0</v>
      </c>
      <c r="U24" s="8">
        <f t="shared" si="12"/>
        <v>333.86</v>
      </c>
      <c r="V24" s="8">
        <f t="shared" si="13"/>
        <v>100.158</v>
      </c>
      <c r="W24" s="8">
        <f t="shared" si="14"/>
        <v>0</v>
      </c>
      <c r="X24" s="8">
        <v>484.33</v>
      </c>
      <c r="Y24" s="8">
        <f t="shared" si="15"/>
        <v>145.29899999999998</v>
      </c>
      <c r="Z24" s="8">
        <f t="shared" si="16"/>
        <v>0</v>
      </c>
      <c r="AA24" s="8">
        <v>353.9</v>
      </c>
      <c r="AB24" s="8">
        <f t="shared" si="17"/>
        <v>106.16999999999999</v>
      </c>
      <c r="AC24" s="8">
        <f t="shared" si="18"/>
        <v>0</v>
      </c>
      <c r="AD24" s="8">
        <v>363.85</v>
      </c>
      <c r="AE24" s="8">
        <f t="shared" si="19"/>
        <v>109.155</v>
      </c>
      <c r="AF24" s="9">
        <f t="shared" si="20"/>
        <v>0</v>
      </c>
    </row>
    <row r="25" spans="1:32" ht="12" customHeight="1" x14ac:dyDescent="0.3">
      <c r="A25" s="6"/>
      <c r="B25" s="7" t="s">
        <v>57</v>
      </c>
      <c r="C25" s="7" t="s">
        <v>58</v>
      </c>
      <c r="D25" s="8">
        <v>396.08</v>
      </c>
      <c r="E25" s="8">
        <f t="shared" si="0"/>
        <v>118.82399999999998</v>
      </c>
      <c r="F25" s="8">
        <f t="shared" si="1"/>
        <v>0</v>
      </c>
      <c r="G25" s="8">
        <v>396.1</v>
      </c>
      <c r="H25" s="8">
        <f t="shared" si="2"/>
        <v>118.83</v>
      </c>
      <c r="I25" s="8">
        <v>419.84</v>
      </c>
      <c r="J25" s="8">
        <f t="shared" si="3"/>
        <v>125.95199999999998</v>
      </c>
      <c r="K25" s="8">
        <f t="shared" si="4"/>
        <v>0</v>
      </c>
      <c r="L25" s="8">
        <v>396.08</v>
      </c>
      <c r="M25" s="8">
        <f t="shared" si="5"/>
        <v>102.9808</v>
      </c>
      <c r="N25" s="8">
        <f t="shared" si="6"/>
        <v>0</v>
      </c>
      <c r="O25" s="8">
        <v>401.25</v>
      </c>
      <c r="P25" s="8">
        <f t="shared" si="7"/>
        <v>120.375</v>
      </c>
      <c r="Q25" s="8">
        <f t="shared" si="8"/>
        <v>0</v>
      </c>
      <c r="R25" s="8">
        <f t="shared" si="9"/>
        <v>396.08</v>
      </c>
      <c r="S25" s="8">
        <f t="shared" si="10"/>
        <v>118.82399999999998</v>
      </c>
      <c r="T25" s="8">
        <f t="shared" si="11"/>
        <v>0</v>
      </c>
      <c r="U25" s="8">
        <f t="shared" si="12"/>
        <v>396.08</v>
      </c>
      <c r="V25" s="8">
        <f t="shared" si="13"/>
        <v>118.82399999999998</v>
      </c>
      <c r="W25" s="8">
        <f t="shared" si="14"/>
        <v>0</v>
      </c>
      <c r="X25" s="8">
        <v>596.98</v>
      </c>
      <c r="Y25" s="8">
        <f t="shared" si="15"/>
        <v>179.09399999999999</v>
      </c>
      <c r="Z25" s="8">
        <f t="shared" si="16"/>
        <v>0</v>
      </c>
      <c r="AA25" s="8">
        <v>419.84</v>
      </c>
      <c r="AB25" s="8">
        <f t="shared" si="17"/>
        <v>125.95199999999998</v>
      </c>
      <c r="AC25" s="8">
        <f t="shared" si="18"/>
        <v>0</v>
      </c>
      <c r="AD25" s="8">
        <v>431.7</v>
      </c>
      <c r="AE25" s="8">
        <f t="shared" si="19"/>
        <v>129.51</v>
      </c>
      <c r="AF25" s="9">
        <f t="shared" si="20"/>
        <v>0</v>
      </c>
    </row>
    <row r="26" spans="1:32" ht="12.6" customHeight="1" x14ac:dyDescent="0.3">
      <c r="A26" s="6"/>
      <c r="B26" s="7" t="s">
        <v>59</v>
      </c>
      <c r="C26" s="7" t="s">
        <v>60</v>
      </c>
      <c r="D26" s="8">
        <v>398.14</v>
      </c>
      <c r="E26" s="8">
        <f t="shared" si="0"/>
        <v>119.44199999999999</v>
      </c>
      <c r="F26" s="8">
        <f t="shared" si="1"/>
        <v>0</v>
      </c>
      <c r="G26" s="8"/>
      <c r="H26" s="8">
        <f t="shared" si="2"/>
        <v>0</v>
      </c>
      <c r="I26" s="8"/>
      <c r="J26" s="8">
        <f t="shared" si="3"/>
        <v>0</v>
      </c>
      <c r="K26" s="8">
        <f t="shared" si="4"/>
        <v>0</v>
      </c>
      <c r="L26" s="8"/>
      <c r="M26" s="8">
        <f t="shared" si="5"/>
        <v>0</v>
      </c>
      <c r="N26" s="8">
        <f t="shared" si="6"/>
        <v>0</v>
      </c>
      <c r="O26" s="8"/>
      <c r="P26" s="8">
        <f t="shared" si="7"/>
        <v>0</v>
      </c>
      <c r="Q26" s="8">
        <f t="shared" si="8"/>
        <v>0</v>
      </c>
      <c r="R26" s="8">
        <f t="shared" si="9"/>
        <v>0</v>
      </c>
      <c r="S26" s="8">
        <f t="shared" si="10"/>
        <v>0</v>
      </c>
      <c r="T26" s="8">
        <f t="shared" si="11"/>
        <v>0</v>
      </c>
      <c r="U26" s="8">
        <f t="shared" si="12"/>
        <v>0</v>
      </c>
      <c r="V26" s="8">
        <f t="shared" si="13"/>
        <v>0</v>
      </c>
      <c r="W26" s="8">
        <f t="shared" si="14"/>
        <v>0</v>
      </c>
      <c r="X26" s="8"/>
      <c r="Y26" s="8">
        <f t="shared" si="15"/>
        <v>0</v>
      </c>
      <c r="Z26" s="8">
        <f t="shared" si="16"/>
        <v>0</v>
      </c>
      <c r="AA26" s="8"/>
      <c r="AB26" s="8">
        <f t="shared" si="17"/>
        <v>0</v>
      </c>
      <c r="AC26" s="8">
        <f t="shared" si="18"/>
        <v>0</v>
      </c>
      <c r="AD26" s="8"/>
      <c r="AE26" s="8">
        <f t="shared" si="19"/>
        <v>0</v>
      </c>
      <c r="AF26" s="9">
        <f t="shared" si="20"/>
        <v>0</v>
      </c>
    </row>
    <row r="27" spans="1:32" ht="12.6" customHeight="1" x14ac:dyDescent="0.3">
      <c r="A27" s="6"/>
      <c r="B27" s="7" t="s">
        <v>61</v>
      </c>
      <c r="C27" s="7" t="s">
        <v>61</v>
      </c>
      <c r="D27" s="8">
        <v>420.87</v>
      </c>
      <c r="E27" s="8">
        <f t="shared" si="0"/>
        <v>126.261</v>
      </c>
      <c r="F27" s="8">
        <f t="shared" si="1"/>
        <v>0</v>
      </c>
      <c r="G27" s="8"/>
      <c r="H27" s="8">
        <f t="shared" si="2"/>
        <v>0</v>
      </c>
      <c r="I27" s="8"/>
      <c r="J27" s="8">
        <f t="shared" si="3"/>
        <v>0</v>
      </c>
      <c r="K27" s="8">
        <f t="shared" si="4"/>
        <v>0</v>
      </c>
      <c r="L27" s="8"/>
      <c r="M27" s="8">
        <f t="shared" si="5"/>
        <v>0</v>
      </c>
      <c r="N27" s="8">
        <f t="shared" si="6"/>
        <v>0</v>
      </c>
      <c r="O27" s="8"/>
      <c r="P27" s="8">
        <f t="shared" si="7"/>
        <v>0</v>
      </c>
      <c r="Q27" s="8">
        <f t="shared" si="8"/>
        <v>0</v>
      </c>
      <c r="R27" s="8">
        <f t="shared" si="9"/>
        <v>0</v>
      </c>
      <c r="S27" s="8">
        <f t="shared" si="10"/>
        <v>0</v>
      </c>
      <c r="T27" s="8">
        <f t="shared" si="11"/>
        <v>0</v>
      </c>
      <c r="U27" s="8">
        <f t="shared" si="12"/>
        <v>0</v>
      </c>
      <c r="V27" s="8">
        <f t="shared" si="13"/>
        <v>0</v>
      </c>
      <c r="W27" s="8">
        <f t="shared" si="14"/>
        <v>0</v>
      </c>
      <c r="X27" s="8"/>
      <c r="Y27" s="8">
        <f t="shared" si="15"/>
        <v>0</v>
      </c>
      <c r="Z27" s="8">
        <f t="shared" si="16"/>
        <v>0</v>
      </c>
      <c r="AA27" s="8"/>
      <c r="AB27" s="8">
        <f t="shared" si="17"/>
        <v>0</v>
      </c>
      <c r="AC27" s="8">
        <f t="shared" si="18"/>
        <v>0</v>
      </c>
      <c r="AD27" s="8"/>
      <c r="AE27" s="8">
        <f t="shared" si="19"/>
        <v>0</v>
      </c>
      <c r="AF27" s="9">
        <f t="shared" si="20"/>
        <v>0</v>
      </c>
    </row>
    <row r="28" spans="1:32" ht="12.6" customHeight="1" x14ac:dyDescent="0.3">
      <c r="A28" s="6"/>
      <c r="B28" s="7" t="s">
        <v>62</v>
      </c>
      <c r="C28" s="7" t="s">
        <v>63</v>
      </c>
      <c r="D28" s="8">
        <v>251.73</v>
      </c>
      <c r="E28" s="8">
        <f t="shared" si="0"/>
        <v>75.518999999999991</v>
      </c>
      <c r="F28" s="8">
        <f t="shared" si="1"/>
        <v>0</v>
      </c>
      <c r="G28" s="8"/>
      <c r="H28" s="8">
        <f t="shared" si="2"/>
        <v>0</v>
      </c>
      <c r="I28" s="8"/>
      <c r="J28" s="8">
        <f t="shared" si="3"/>
        <v>0</v>
      </c>
      <c r="K28" s="8">
        <f t="shared" si="4"/>
        <v>0</v>
      </c>
      <c r="L28" s="8"/>
      <c r="M28" s="8">
        <f t="shared" si="5"/>
        <v>0</v>
      </c>
      <c r="N28" s="8">
        <f t="shared" si="6"/>
        <v>0</v>
      </c>
      <c r="O28" s="8"/>
      <c r="P28" s="8">
        <f t="shared" si="7"/>
        <v>0</v>
      </c>
      <c r="Q28" s="8">
        <f t="shared" si="8"/>
        <v>0</v>
      </c>
      <c r="R28" s="8">
        <f t="shared" si="9"/>
        <v>0</v>
      </c>
      <c r="S28" s="8">
        <f t="shared" si="10"/>
        <v>0</v>
      </c>
      <c r="T28" s="8">
        <f t="shared" si="11"/>
        <v>0</v>
      </c>
      <c r="U28" s="8">
        <f t="shared" si="12"/>
        <v>0</v>
      </c>
      <c r="V28" s="8">
        <f t="shared" si="13"/>
        <v>0</v>
      </c>
      <c r="W28" s="8">
        <f t="shared" si="14"/>
        <v>0</v>
      </c>
      <c r="X28" s="8"/>
      <c r="Y28" s="8">
        <f t="shared" si="15"/>
        <v>0</v>
      </c>
      <c r="Z28" s="8">
        <f t="shared" si="16"/>
        <v>0</v>
      </c>
      <c r="AA28" s="8"/>
      <c r="AB28" s="8">
        <f t="shared" si="17"/>
        <v>0</v>
      </c>
      <c r="AC28" s="8">
        <f t="shared" si="18"/>
        <v>0</v>
      </c>
      <c r="AD28" s="8"/>
      <c r="AE28" s="8">
        <f t="shared" si="19"/>
        <v>0</v>
      </c>
      <c r="AF28" s="9">
        <f t="shared" si="20"/>
        <v>0</v>
      </c>
    </row>
    <row r="29" spans="1:32" ht="12.6" customHeight="1" x14ac:dyDescent="0.3">
      <c r="A29" s="6"/>
      <c r="B29" s="7" t="s">
        <v>64</v>
      </c>
      <c r="C29" s="7" t="s">
        <v>65</v>
      </c>
      <c r="D29" s="8">
        <v>302.07</v>
      </c>
      <c r="E29" s="8">
        <f t="shared" si="0"/>
        <v>90.620999999999995</v>
      </c>
      <c r="F29" s="8">
        <f t="shared" si="1"/>
        <v>0</v>
      </c>
      <c r="G29" s="8"/>
      <c r="H29" s="8">
        <f t="shared" si="2"/>
        <v>0</v>
      </c>
      <c r="I29" s="8"/>
      <c r="J29" s="8">
        <f t="shared" si="3"/>
        <v>0</v>
      </c>
      <c r="K29" s="8">
        <f t="shared" si="4"/>
        <v>0</v>
      </c>
      <c r="L29" s="8"/>
      <c r="M29" s="8">
        <f t="shared" si="5"/>
        <v>0</v>
      </c>
      <c r="N29" s="8">
        <f t="shared" si="6"/>
        <v>0</v>
      </c>
      <c r="O29" s="8"/>
      <c r="P29" s="8">
        <f t="shared" si="7"/>
        <v>0</v>
      </c>
      <c r="Q29" s="8">
        <f t="shared" si="8"/>
        <v>0</v>
      </c>
      <c r="R29" s="8">
        <f t="shared" si="9"/>
        <v>0</v>
      </c>
      <c r="S29" s="8">
        <f t="shared" si="10"/>
        <v>0</v>
      </c>
      <c r="T29" s="8">
        <f t="shared" si="11"/>
        <v>0</v>
      </c>
      <c r="U29" s="8">
        <f t="shared" si="12"/>
        <v>0</v>
      </c>
      <c r="V29" s="8">
        <f t="shared" si="13"/>
        <v>0</v>
      </c>
      <c r="W29" s="8">
        <f t="shared" si="14"/>
        <v>0</v>
      </c>
      <c r="X29" s="8"/>
      <c r="Y29" s="8">
        <f t="shared" si="15"/>
        <v>0</v>
      </c>
      <c r="Z29" s="8">
        <f t="shared" si="16"/>
        <v>0</v>
      </c>
      <c r="AA29" s="8"/>
      <c r="AB29" s="8">
        <f t="shared" si="17"/>
        <v>0</v>
      </c>
      <c r="AC29" s="8">
        <f t="shared" si="18"/>
        <v>0</v>
      </c>
      <c r="AD29" s="8"/>
      <c r="AE29" s="8">
        <f t="shared" si="19"/>
        <v>0</v>
      </c>
      <c r="AF29" s="9">
        <f t="shared" si="20"/>
        <v>0</v>
      </c>
    </row>
    <row r="30" spans="1:32" ht="12.6" customHeight="1" x14ac:dyDescent="0.3">
      <c r="A30" s="6"/>
      <c r="B30" s="7" t="s">
        <v>66</v>
      </c>
      <c r="C30" s="7" t="s">
        <v>67</v>
      </c>
      <c r="D30" s="8">
        <v>540.74</v>
      </c>
      <c r="E30" s="8">
        <f t="shared" si="0"/>
        <v>162.22200000000001</v>
      </c>
      <c r="F30" s="8">
        <f t="shared" si="1"/>
        <v>0</v>
      </c>
      <c r="G30" s="8">
        <v>349.68</v>
      </c>
      <c r="H30" s="8">
        <f t="shared" si="2"/>
        <v>104.904</v>
      </c>
      <c r="I30" s="8">
        <v>228.88</v>
      </c>
      <c r="J30" s="8">
        <f t="shared" si="3"/>
        <v>68.664000000000001</v>
      </c>
      <c r="K30" s="8">
        <f t="shared" si="4"/>
        <v>0</v>
      </c>
      <c r="L30" s="8">
        <v>197.11</v>
      </c>
      <c r="M30" s="8">
        <f t="shared" si="5"/>
        <v>51.248600000000003</v>
      </c>
      <c r="N30" s="8">
        <f t="shared" si="6"/>
        <v>0</v>
      </c>
      <c r="O30" s="8">
        <v>194.55</v>
      </c>
      <c r="P30" s="8">
        <f t="shared" si="7"/>
        <v>58.365000000000002</v>
      </c>
      <c r="Q30" s="8">
        <f t="shared" si="8"/>
        <v>0</v>
      </c>
      <c r="R30" s="8">
        <f t="shared" si="9"/>
        <v>197.11</v>
      </c>
      <c r="S30" s="8">
        <f t="shared" si="10"/>
        <v>59.133000000000003</v>
      </c>
      <c r="T30" s="8">
        <f t="shared" si="11"/>
        <v>0</v>
      </c>
      <c r="U30" s="8">
        <f t="shared" si="12"/>
        <v>197.11</v>
      </c>
      <c r="V30" s="8">
        <f t="shared" si="13"/>
        <v>59.133000000000003</v>
      </c>
      <c r="W30" s="8">
        <f t="shared" si="14"/>
        <v>0</v>
      </c>
      <c r="X30" s="8">
        <v>222.9</v>
      </c>
      <c r="Y30" s="8">
        <f t="shared" si="15"/>
        <v>66.87</v>
      </c>
      <c r="Z30" s="8">
        <f t="shared" si="16"/>
        <v>0</v>
      </c>
      <c r="AA30" s="8">
        <v>215.61</v>
      </c>
      <c r="AB30" s="8">
        <f t="shared" si="17"/>
        <v>64.683000000000007</v>
      </c>
      <c r="AC30" s="8">
        <f t="shared" si="18"/>
        <v>0</v>
      </c>
      <c r="AD30" s="8">
        <v>245.66</v>
      </c>
      <c r="AE30" s="8">
        <f t="shared" si="19"/>
        <v>73.697999999999993</v>
      </c>
      <c r="AF30" s="9">
        <f t="shared" si="20"/>
        <v>0</v>
      </c>
    </row>
    <row r="31" spans="1:32" ht="12.6" customHeight="1" x14ac:dyDescent="0.3">
      <c r="A31" s="6"/>
      <c r="B31" s="7" t="s">
        <v>68</v>
      </c>
      <c r="C31" s="7" t="s">
        <v>69</v>
      </c>
      <c r="D31" s="8">
        <v>573.15</v>
      </c>
      <c r="E31" s="8">
        <f t="shared" si="0"/>
        <v>171.94499999999999</v>
      </c>
      <c r="F31" s="8">
        <f t="shared" si="1"/>
        <v>0</v>
      </c>
      <c r="G31" s="8">
        <v>381.8</v>
      </c>
      <c r="H31" s="8">
        <f t="shared" si="2"/>
        <v>114.54</v>
      </c>
      <c r="I31" s="8">
        <v>231.83</v>
      </c>
      <c r="J31" s="8">
        <f t="shared" si="3"/>
        <v>69.549000000000007</v>
      </c>
      <c r="K31" s="8">
        <f t="shared" si="4"/>
        <v>0</v>
      </c>
      <c r="L31" s="8">
        <v>198.11</v>
      </c>
      <c r="M31" s="8">
        <f t="shared" si="5"/>
        <v>51.508600000000008</v>
      </c>
      <c r="N31" s="8">
        <f t="shared" si="6"/>
        <v>0</v>
      </c>
      <c r="O31" s="8">
        <v>195.6</v>
      </c>
      <c r="P31" s="8">
        <f t="shared" si="7"/>
        <v>58.679999999999993</v>
      </c>
      <c r="Q31" s="8">
        <f t="shared" si="8"/>
        <v>0</v>
      </c>
      <c r="R31" s="8">
        <f t="shared" si="9"/>
        <v>198.11</v>
      </c>
      <c r="S31" s="8">
        <f t="shared" si="10"/>
        <v>59.433</v>
      </c>
      <c r="T31" s="8">
        <f t="shared" si="11"/>
        <v>0</v>
      </c>
      <c r="U31" s="8">
        <f t="shared" si="12"/>
        <v>198.11</v>
      </c>
      <c r="V31" s="8">
        <f t="shared" si="13"/>
        <v>59.433</v>
      </c>
      <c r="W31" s="8">
        <f t="shared" si="14"/>
        <v>0</v>
      </c>
      <c r="X31" s="8">
        <v>264.27999999999997</v>
      </c>
      <c r="Y31" s="8">
        <f t="shared" si="15"/>
        <v>79.283999999999992</v>
      </c>
      <c r="Z31" s="8">
        <f t="shared" si="16"/>
        <v>0</v>
      </c>
      <c r="AA31" s="8">
        <v>218.31</v>
      </c>
      <c r="AB31" s="8">
        <f t="shared" si="17"/>
        <v>65.492999999999995</v>
      </c>
      <c r="AC31" s="8">
        <f t="shared" si="18"/>
        <v>0</v>
      </c>
      <c r="AD31" s="8">
        <v>249.19</v>
      </c>
      <c r="AE31" s="8">
        <f t="shared" si="19"/>
        <v>74.756999999999991</v>
      </c>
      <c r="AF31" s="9">
        <f t="shared" si="20"/>
        <v>0</v>
      </c>
    </row>
    <row r="32" spans="1:32" ht="12.6" customHeight="1" x14ac:dyDescent="0.3">
      <c r="A32" s="6"/>
      <c r="B32" s="7" t="s">
        <v>70</v>
      </c>
      <c r="C32" s="7" t="s">
        <v>71</v>
      </c>
      <c r="D32" s="8">
        <v>605.51</v>
      </c>
      <c r="E32" s="8">
        <f t="shared" si="0"/>
        <v>181.65299999999999</v>
      </c>
      <c r="F32" s="8">
        <f t="shared" si="1"/>
        <v>0</v>
      </c>
      <c r="G32" s="8">
        <v>408.19</v>
      </c>
      <c r="H32" s="8">
        <f t="shared" si="2"/>
        <v>122.45699999999999</v>
      </c>
      <c r="I32" s="8">
        <v>240.01</v>
      </c>
      <c r="J32" s="8">
        <f t="shared" si="3"/>
        <v>72.003</v>
      </c>
      <c r="K32" s="8">
        <f t="shared" si="4"/>
        <v>0</v>
      </c>
      <c r="L32" s="8">
        <v>204</v>
      </c>
      <c r="M32" s="8">
        <f t="shared" si="5"/>
        <v>53.04</v>
      </c>
      <c r="N32" s="8">
        <f t="shared" si="6"/>
        <v>0</v>
      </c>
      <c r="O32" s="8">
        <v>201.38</v>
      </c>
      <c r="P32" s="8">
        <f t="shared" si="7"/>
        <v>60.413999999999994</v>
      </c>
      <c r="Q32" s="8">
        <f t="shared" si="8"/>
        <v>0</v>
      </c>
      <c r="R32" s="8">
        <f t="shared" si="9"/>
        <v>204</v>
      </c>
      <c r="S32" s="8">
        <f t="shared" si="10"/>
        <v>61.199999999999996</v>
      </c>
      <c r="T32" s="8">
        <f t="shared" si="11"/>
        <v>0</v>
      </c>
      <c r="U32" s="8">
        <f t="shared" si="12"/>
        <v>204</v>
      </c>
      <c r="V32" s="8">
        <f t="shared" si="13"/>
        <v>61.199999999999996</v>
      </c>
      <c r="W32" s="8">
        <f t="shared" si="14"/>
        <v>0</v>
      </c>
      <c r="X32" s="8">
        <v>305.67</v>
      </c>
      <c r="Y32" s="8">
        <f t="shared" si="15"/>
        <v>91.701000000000008</v>
      </c>
      <c r="Z32" s="8">
        <f t="shared" si="16"/>
        <v>0</v>
      </c>
      <c r="AA32" s="8">
        <v>221.48</v>
      </c>
      <c r="AB32" s="8">
        <f t="shared" si="17"/>
        <v>66.443999999999988</v>
      </c>
      <c r="AC32" s="8">
        <f t="shared" si="18"/>
        <v>0</v>
      </c>
      <c r="AD32" s="8">
        <v>258.22000000000003</v>
      </c>
      <c r="AE32" s="8">
        <f t="shared" si="19"/>
        <v>77.466000000000008</v>
      </c>
      <c r="AF32" s="9">
        <f t="shared" si="20"/>
        <v>0</v>
      </c>
    </row>
    <row r="33" spans="1:32" ht="12.6" customHeight="1" x14ac:dyDescent="0.3">
      <c r="A33" s="6"/>
      <c r="B33" s="7" t="s">
        <v>72</v>
      </c>
      <c r="C33" s="7" t="s">
        <v>73</v>
      </c>
      <c r="D33" s="8">
        <v>637.91999999999996</v>
      </c>
      <c r="E33" s="8">
        <f t="shared" si="0"/>
        <v>191.37599999999998</v>
      </c>
      <c r="F33" s="8">
        <f t="shared" si="1"/>
        <v>0</v>
      </c>
      <c r="G33" s="8">
        <v>434.19</v>
      </c>
      <c r="H33" s="8">
        <f t="shared" si="2"/>
        <v>130.25700000000001</v>
      </c>
      <c r="I33" s="8">
        <v>248.53</v>
      </c>
      <c r="J33" s="8">
        <f t="shared" si="3"/>
        <v>74.558999999999997</v>
      </c>
      <c r="K33" s="8">
        <f t="shared" si="4"/>
        <v>0</v>
      </c>
      <c r="L33" s="8">
        <v>210.93</v>
      </c>
      <c r="M33" s="8">
        <f t="shared" si="5"/>
        <v>54.841800000000006</v>
      </c>
      <c r="N33" s="8">
        <f t="shared" si="6"/>
        <v>0</v>
      </c>
      <c r="O33" s="8">
        <v>208.2</v>
      </c>
      <c r="P33" s="8">
        <f t="shared" si="7"/>
        <v>62.459999999999994</v>
      </c>
      <c r="Q33" s="8">
        <f t="shared" si="8"/>
        <v>0</v>
      </c>
      <c r="R33" s="8">
        <f t="shared" si="9"/>
        <v>210.93</v>
      </c>
      <c r="S33" s="8">
        <f t="shared" si="10"/>
        <v>63.278999999999996</v>
      </c>
      <c r="T33" s="8">
        <f t="shared" si="11"/>
        <v>0</v>
      </c>
      <c r="U33" s="8">
        <f t="shared" si="12"/>
        <v>210.93</v>
      </c>
      <c r="V33" s="8">
        <f t="shared" si="13"/>
        <v>63.278999999999996</v>
      </c>
      <c r="W33" s="8">
        <f t="shared" si="14"/>
        <v>0</v>
      </c>
      <c r="X33" s="8">
        <v>347.05</v>
      </c>
      <c r="Y33" s="8">
        <f t="shared" si="15"/>
        <v>104.11499999999999</v>
      </c>
      <c r="Z33" s="8">
        <f t="shared" si="16"/>
        <v>0</v>
      </c>
      <c r="AA33" s="8">
        <v>224.93</v>
      </c>
      <c r="AB33" s="8">
        <f t="shared" si="17"/>
        <v>67.478999999999999</v>
      </c>
      <c r="AC33" s="8">
        <f t="shared" si="18"/>
        <v>0</v>
      </c>
      <c r="AD33" s="8">
        <v>267.52</v>
      </c>
      <c r="AE33" s="8">
        <f t="shared" si="19"/>
        <v>80.255999999999986</v>
      </c>
      <c r="AF33" s="9">
        <f t="shared" si="20"/>
        <v>0</v>
      </c>
    </row>
    <row r="34" spans="1:32" ht="12.6" customHeight="1" x14ac:dyDescent="0.3">
      <c r="A34" s="6"/>
      <c r="B34" s="7" t="s">
        <v>74</v>
      </c>
      <c r="C34" s="7" t="s">
        <v>75</v>
      </c>
      <c r="D34" s="8">
        <v>670.27</v>
      </c>
      <c r="E34" s="8">
        <f t="shared" si="0"/>
        <v>201.08099999999999</v>
      </c>
      <c r="F34" s="8">
        <f t="shared" si="1"/>
        <v>0</v>
      </c>
      <c r="G34" s="8">
        <v>462.67</v>
      </c>
      <c r="H34" s="8">
        <f t="shared" si="2"/>
        <v>138.80099999999999</v>
      </c>
      <c r="I34" s="8">
        <v>255.08</v>
      </c>
      <c r="J34" s="8">
        <f t="shared" si="3"/>
        <v>76.524000000000001</v>
      </c>
      <c r="K34" s="8">
        <f t="shared" si="4"/>
        <v>0</v>
      </c>
      <c r="L34" s="8">
        <v>215.13</v>
      </c>
      <c r="M34" s="8">
        <f t="shared" si="5"/>
        <v>55.933799999999998</v>
      </c>
      <c r="N34" s="8">
        <f t="shared" si="6"/>
        <v>0</v>
      </c>
      <c r="O34" s="8">
        <v>212.38</v>
      </c>
      <c r="P34" s="8">
        <f t="shared" si="7"/>
        <v>63.713999999999999</v>
      </c>
      <c r="Q34" s="8">
        <f t="shared" si="8"/>
        <v>0</v>
      </c>
      <c r="R34" s="8">
        <f t="shared" si="9"/>
        <v>215.13</v>
      </c>
      <c r="S34" s="8">
        <f t="shared" si="10"/>
        <v>64.539000000000001</v>
      </c>
      <c r="T34" s="8">
        <f t="shared" si="11"/>
        <v>0</v>
      </c>
      <c r="U34" s="8">
        <f t="shared" si="12"/>
        <v>215.13</v>
      </c>
      <c r="V34" s="8">
        <f t="shared" si="13"/>
        <v>64.539000000000001</v>
      </c>
      <c r="W34" s="8">
        <f t="shared" si="14"/>
        <v>0</v>
      </c>
      <c r="X34" s="8">
        <v>388.99</v>
      </c>
      <c r="Y34" s="8">
        <f t="shared" si="15"/>
        <v>116.697</v>
      </c>
      <c r="Z34" s="8">
        <f t="shared" si="16"/>
        <v>0</v>
      </c>
      <c r="AA34" s="8">
        <v>230.19</v>
      </c>
      <c r="AB34" s="8">
        <f t="shared" si="17"/>
        <v>69.057000000000002</v>
      </c>
      <c r="AC34" s="8">
        <f t="shared" si="18"/>
        <v>0</v>
      </c>
      <c r="AD34" s="8">
        <v>274.72000000000003</v>
      </c>
      <c r="AE34" s="8">
        <f t="shared" si="19"/>
        <v>82.416000000000011</v>
      </c>
      <c r="AF34" s="9">
        <f t="shared" si="20"/>
        <v>0</v>
      </c>
    </row>
    <row r="35" spans="1:32" ht="12.6" customHeight="1" x14ac:dyDescent="0.3">
      <c r="A35" s="6"/>
      <c r="B35" s="7" t="s">
        <v>76</v>
      </c>
      <c r="C35" s="7" t="s">
        <v>77</v>
      </c>
      <c r="D35" s="8"/>
      <c r="E35" s="8">
        <f t="shared" si="0"/>
        <v>0</v>
      </c>
      <c r="F35" s="8">
        <f t="shared" si="1"/>
        <v>0</v>
      </c>
      <c r="G35" s="8"/>
      <c r="H35" s="8">
        <f t="shared" si="2"/>
        <v>0</v>
      </c>
      <c r="I35" s="8"/>
      <c r="J35" s="8">
        <f t="shared" si="3"/>
        <v>0</v>
      </c>
      <c r="K35" s="8">
        <f t="shared" si="4"/>
        <v>0</v>
      </c>
      <c r="L35" s="8"/>
      <c r="M35" s="8">
        <f t="shared" si="5"/>
        <v>0</v>
      </c>
      <c r="N35" s="8">
        <f t="shared" si="6"/>
        <v>0</v>
      </c>
      <c r="O35" s="8"/>
      <c r="P35" s="8">
        <f t="shared" si="7"/>
        <v>0</v>
      </c>
      <c r="Q35" s="8">
        <f t="shared" si="8"/>
        <v>0</v>
      </c>
      <c r="R35" s="8"/>
      <c r="S35" s="8">
        <f t="shared" si="10"/>
        <v>0</v>
      </c>
      <c r="T35" s="8">
        <f t="shared" si="11"/>
        <v>0</v>
      </c>
      <c r="U35" s="8">
        <f t="shared" si="12"/>
        <v>0</v>
      </c>
      <c r="V35" s="8">
        <f t="shared" si="13"/>
        <v>0</v>
      </c>
      <c r="W35" s="8">
        <f t="shared" si="14"/>
        <v>0</v>
      </c>
      <c r="X35" s="8"/>
      <c r="Y35" s="8">
        <f t="shared" si="15"/>
        <v>0</v>
      </c>
      <c r="Z35" s="8">
        <f t="shared" si="16"/>
        <v>0</v>
      </c>
      <c r="AA35" s="8"/>
      <c r="AB35" s="8">
        <f t="shared" si="17"/>
        <v>0</v>
      </c>
      <c r="AC35" s="8">
        <f t="shared" si="18"/>
        <v>0</v>
      </c>
      <c r="AD35" s="8"/>
      <c r="AE35" s="8">
        <f t="shared" si="19"/>
        <v>0</v>
      </c>
      <c r="AF35" s="9">
        <f t="shared" si="20"/>
        <v>0</v>
      </c>
    </row>
    <row r="36" spans="1:32" ht="12.6" customHeight="1" x14ac:dyDescent="0.3">
      <c r="A36" s="6"/>
      <c r="B36" s="7" t="s">
        <v>78</v>
      </c>
      <c r="C36" s="7" t="s">
        <v>79</v>
      </c>
      <c r="D36" s="8">
        <v>716.58</v>
      </c>
      <c r="E36" s="8">
        <f t="shared" si="0"/>
        <v>214.97400000000002</v>
      </c>
      <c r="F36" s="8">
        <f t="shared" si="1"/>
        <v>0</v>
      </c>
      <c r="G36" s="8">
        <v>500.99</v>
      </c>
      <c r="H36" s="8">
        <f t="shared" si="2"/>
        <v>150.297</v>
      </c>
      <c r="I36" s="8">
        <v>265.56</v>
      </c>
      <c r="J36" s="8">
        <f t="shared" si="3"/>
        <v>79.667999999999992</v>
      </c>
      <c r="K36" s="8">
        <f t="shared" si="4"/>
        <v>0</v>
      </c>
      <c r="L36" s="8">
        <v>223.51</v>
      </c>
      <c r="M36" s="8">
        <f t="shared" si="5"/>
        <v>58.1126</v>
      </c>
      <c r="N36" s="8">
        <f t="shared" si="6"/>
        <v>0</v>
      </c>
      <c r="O36" s="8">
        <v>220.61</v>
      </c>
      <c r="P36" s="8">
        <f t="shared" si="7"/>
        <v>66.183000000000007</v>
      </c>
      <c r="Q36" s="8">
        <f t="shared" si="8"/>
        <v>0</v>
      </c>
      <c r="R36" s="8">
        <f>L36</f>
        <v>223.51</v>
      </c>
      <c r="S36" s="8">
        <f t="shared" si="10"/>
        <v>67.052999999999997</v>
      </c>
      <c r="T36" s="8">
        <f t="shared" si="11"/>
        <v>0</v>
      </c>
      <c r="U36" s="8">
        <f t="shared" si="12"/>
        <v>223.51</v>
      </c>
      <c r="V36" s="8">
        <f t="shared" si="13"/>
        <v>67.052999999999997</v>
      </c>
      <c r="W36" s="8">
        <f t="shared" si="14"/>
        <v>0</v>
      </c>
      <c r="X36" s="8">
        <v>430.38</v>
      </c>
      <c r="Y36" s="8">
        <f t="shared" si="15"/>
        <v>129.114</v>
      </c>
      <c r="Z36" s="8">
        <f t="shared" si="16"/>
        <v>0</v>
      </c>
      <c r="AA36" s="8">
        <v>238.1</v>
      </c>
      <c r="AB36" s="8">
        <f t="shared" si="17"/>
        <v>71.429999999999993</v>
      </c>
      <c r="AC36" s="8">
        <f t="shared" si="18"/>
        <v>0</v>
      </c>
      <c r="AD36" s="8">
        <v>287.83</v>
      </c>
      <c r="AE36" s="8">
        <f t="shared" si="19"/>
        <v>86.34899999999999</v>
      </c>
      <c r="AF36" s="9">
        <f t="shared" si="20"/>
        <v>0</v>
      </c>
    </row>
    <row r="37" spans="1:32" ht="12.6" customHeight="1" x14ac:dyDescent="0.3">
      <c r="A37" s="6"/>
      <c r="B37" s="7" t="s">
        <v>80</v>
      </c>
      <c r="C37" s="7" t="s">
        <v>81</v>
      </c>
      <c r="D37" s="8"/>
      <c r="E37" s="8">
        <f t="shared" si="0"/>
        <v>0</v>
      </c>
      <c r="F37" s="8">
        <f t="shared" si="1"/>
        <v>0</v>
      </c>
      <c r="G37" s="8"/>
      <c r="H37" s="8">
        <f t="shared" si="2"/>
        <v>0</v>
      </c>
      <c r="I37" s="8"/>
      <c r="J37" s="8">
        <f t="shared" si="3"/>
        <v>0</v>
      </c>
      <c r="K37" s="8">
        <f t="shared" si="4"/>
        <v>0</v>
      </c>
      <c r="L37" s="8"/>
      <c r="M37" s="8">
        <f t="shared" si="5"/>
        <v>0</v>
      </c>
      <c r="N37" s="8">
        <f t="shared" si="6"/>
        <v>0</v>
      </c>
      <c r="O37" s="8"/>
      <c r="P37" s="8">
        <f t="shared" si="7"/>
        <v>0</v>
      </c>
      <c r="Q37" s="8">
        <f t="shared" si="8"/>
        <v>0</v>
      </c>
      <c r="R37" s="8"/>
      <c r="S37" s="8">
        <f t="shared" si="10"/>
        <v>0</v>
      </c>
      <c r="T37" s="8">
        <f t="shared" si="11"/>
        <v>0</v>
      </c>
      <c r="U37" s="8">
        <f t="shared" si="12"/>
        <v>0</v>
      </c>
      <c r="V37" s="8">
        <f t="shared" si="13"/>
        <v>0</v>
      </c>
      <c r="W37" s="8">
        <f t="shared" si="14"/>
        <v>0</v>
      </c>
      <c r="X37" s="8"/>
      <c r="Y37" s="8">
        <f t="shared" si="15"/>
        <v>0</v>
      </c>
      <c r="Z37" s="8">
        <f t="shared" si="16"/>
        <v>0</v>
      </c>
      <c r="AA37" s="8"/>
      <c r="AB37" s="8">
        <f t="shared" si="17"/>
        <v>0</v>
      </c>
      <c r="AC37" s="8">
        <f t="shared" si="18"/>
        <v>0</v>
      </c>
      <c r="AD37" s="8"/>
      <c r="AE37" s="8">
        <f t="shared" si="19"/>
        <v>0</v>
      </c>
      <c r="AF37" s="9">
        <f t="shared" si="20"/>
        <v>0</v>
      </c>
    </row>
    <row r="38" spans="1:32" ht="12.6" customHeight="1" x14ac:dyDescent="0.3">
      <c r="A38" s="6"/>
      <c r="B38" s="7" t="s">
        <v>82</v>
      </c>
      <c r="C38" s="7" t="s">
        <v>83</v>
      </c>
      <c r="D38" s="8">
        <v>824.38</v>
      </c>
      <c r="E38" s="8">
        <f t="shared" si="0"/>
        <v>247.31399999999999</v>
      </c>
      <c r="F38" s="8">
        <f t="shared" si="1"/>
        <v>0</v>
      </c>
      <c r="G38" s="8"/>
      <c r="H38" s="8">
        <f t="shared" si="2"/>
        <v>0</v>
      </c>
      <c r="I38" s="8">
        <v>872.51</v>
      </c>
      <c r="J38" s="8">
        <f t="shared" si="3"/>
        <v>261.75299999999999</v>
      </c>
      <c r="K38" s="8">
        <f t="shared" si="4"/>
        <v>0</v>
      </c>
      <c r="L38" s="8"/>
      <c r="M38" s="8">
        <f t="shared" si="5"/>
        <v>0</v>
      </c>
      <c r="N38" s="8">
        <f t="shared" si="6"/>
        <v>0</v>
      </c>
      <c r="O38" s="8"/>
      <c r="P38" s="8">
        <f t="shared" si="7"/>
        <v>0</v>
      </c>
      <c r="Q38" s="8">
        <f t="shared" si="8"/>
        <v>0</v>
      </c>
      <c r="R38" s="8">
        <f t="shared" ref="R38:R48" si="21">L38</f>
        <v>0</v>
      </c>
      <c r="S38" s="8">
        <f t="shared" si="10"/>
        <v>0</v>
      </c>
      <c r="T38" s="8">
        <f t="shared" si="11"/>
        <v>0</v>
      </c>
      <c r="U38" s="8">
        <f t="shared" si="12"/>
        <v>0</v>
      </c>
      <c r="V38" s="8">
        <f t="shared" si="13"/>
        <v>0</v>
      </c>
      <c r="W38" s="8">
        <f t="shared" si="14"/>
        <v>0</v>
      </c>
      <c r="X38" s="8">
        <v>992.86</v>
      </c>
      <c r="Y38" s="8">
        <f t="shared" si="15"/>
        <v>297.858</v>
      </c>
      <c r="Z38" s="8">
        <f t="shared" si="16"/>
        <v>0</v>
      </c>
      <c r="AA38" s="8"/>
      <c r="AB38" s="8">
        <f t="shared" si="17"/>
        <v>0</v>
      </c>
      <c r="AC38" s="8">
        <f t="shared" si="18"/>
        <v>0</v>
      </c>
      <c r="AD38" s="8"/>
      <c r="AE38" s="8">
        <f t="shared" si="19"/>
        <v>0</v>
      </c>
      <c r="AF38" s="9">
        <f t="shared" si="20"/>
        <v>0</v>
      </c>
    </row>
    <row r="39" spans="1:32" ht="12.6" customHeight="1" x14ac:dyDescent="0.3">
      <c r="A39" s="6"/>
      <c r="B39" s="7" t="s">
        <v>84</v>
      </c>
      <c r="C39" s="7" t="s">
        <v>85</v>
      </c>
      <c r="D39" s="8">
        <v>765.29</v>
      </c>
      <c r="E39" s="8">
        <f t="shared" si="0"/>
        <v>229.58699999999999</v>
      </c>
      <c r="F39" s="8">
        <f t="shared" si="1"/>
        <v>0</v>
      </c>
      <c r="G39" s="8">
        <v>530.91</v>
      </c>
      <c r="H39" s="8">
        <f t="shared" si="2"/>
        <v>159.273</v>
      </c>
      <c r="I39" s="8">
        <v>287.83</v>
      </c>
      <c r="J39" s="8">
        <f t="shared" si="3"/>
        <v>86.34899999999999</v>
      </c>
      <c r="K39" s="8">
        <f t="shared" si="4"/>
        <v>0</v>
      </c>
      <c r="L39" s="8">
        <v>241.66</v>
      </c>
      <c r="M39" s="8">
        <f t="shared" si="5"/>
        <v>62.831600000000002</v>
      </c>
      <c r="N39" s="8">
        <f t="shared" si="6"/>
        <v>0</v>
      </c>
      <c r="O39" s="8">
        <v>238.57</v>
      </c>
      <c r="P39" s="8">
        <f t="shared" si="7"/>
        <v>71.570999999999998</v>
      </c>
      <c r="Q39" s="8">
        <f t="shared" si="8"/>
        <v>0</v>
      </c>
      <c r="R39" s="8">
        <f t="shared" si="21"/>
        <v>241.66</v>
      </c>
      <c r="S39" s="8">
        <f t="shared" si="10"/>
        <v>72.49799999999999</v>
      </c>
      <c r="T39" s="8">
        <f t="shared" si="11"/>
        <v>0</v>
      </c>
      <c r="U39" s="8">
        <f t="shared" si="12"/>
        <v>241.66</v>
      </c>
      <c r="V39" s="8">
        <f t="shared" si="13"/>
        <v>72.49799999999999</v>
      </c>
      <c r="W39" s="8">
        <f t="shared" si="14"/>
        <v>0</v>
      </c>
      <c r="X39" s="8">
        <v>471.77</v>
      </c>
      <c r="Y39" s="8">
        <f t="shared" si="15"/>
        <v>141.53099999999998</v>
      </c>
      <c r="Z39" s="8">
        <f t="shared" si="16"/>
        <v>0</v>
      </c>
      <c r="AA39" s="8">
        <v>252.4</v>
      </c>
      <c r="AB39" s="8">
        <f t="shared" si="17"/>
        <v>75.72</v>
      </c>
      <c r="AC39" s="8">
        <f t="shared" si="18"/>
        <v>0</v>
      </c>
      <c r="AD39" s="8">
        <v>311.39</v>
      </c>
      <c r="AE39" s="8">
        <f t="shared" si="19"/>
        <v>93.416999999999987</v>
      </c>
      <c r="AF39" s="9">
        <f t="shared" si="20"/>
        <v>0</v>
      </c>
    </row>
    <row r="40" spans="1:32" ht="12.6" customHeight="1" x14ac:dyDescent="0.3">
      <c r="A40" s="6"/>
      <c r="B40" s="7" t="s">
        <v>86</v>
      </c>
      <c r="C40" s="7" t="s">
        <v>87</v>
      </c>
      <c r="D40" s="8">
        <v>803.22</v>
      </c>
      <c r="E40" s="8">
        <f t="shared" si="0"/>
        <v>240.96600000000001</v>
      </c>
      <c r="F40" s="8">
        <f t="shared" si="1"/>
        <v>0</v>
      </c>
      <c r="G40" s="8">
        <v>553.38</v>
      </c>
      <c r="H40" s="8">
        <f t="shared" si="2"/>
        <v>166.01399999999998</v>
      </c>
      <c r="I40" s="8">
        <v>306.16000000000003</v>
      </c>
      <c r="J40" s="8">
        <f t="shared" si="3"/>
        <v>91.847999999999999</v>
      </c>
      <c r="K40" s="8">
        <f t="shared" si="4"/>
        <v>0</v>
      </c>
      <c r="L40" s="8">
        <v>258.74</v>
      </c>
      <c r="M40" s="8">
        <f t="shared" si="5"/>
        <v>67.272400000000005</v>
      </c>
      <c r="N40" s="8">
        <f t="shared" si="6"/>
        <v>0</v>
      </c>
      <c r="O40" s="8">
        <v>255.4</v>
      </c>
      <c r="P40" s="8">
        <f t="shared" si="7"/>
        <v>76.62</v>
      </c>
      <c r="Q40" s="8">
        <f t="shared" si="8"/>
        <v>0</v>
      </c>
      <c r="R40" s="8">
        <f t="shared" si="21"/>
        <v>258.74</v>
      </c>
      <c r="S40" s="8">
        <f t="shared" si="10"/>
        <v>77.622</v>
      </c>
      <c r="T40" s="8">
        <f t="shared" si="11"/>
        <v>0</v>
      </c>
      <c r="U40" s="8">
        <f t="shared" si="12"/>
        <v>258.74</v>
      </c>
      <c r="V40" s="8">
        <f t="shared" si="13"/>
        <v>77.622</v>
      </c>
      <c r="W40" s="8">
        <f t="shared" si="14"/>
        <v>0</v>
      </c>
      <c r="X40" s="8">
        <v>513.15</v>
      </c>
      <c r="Y40" s="8">
        <f t="shared" si="15"/>
        <v>153.94499999999999</v>
      </c>
      <c r="Z40" s="8">
        <f t="shared" si="16"/>
        <v>0</v>
      </c>
      <c r="AA40" s="8">
        <v>275.11</v>
      </c>
      <c r="AB40" s="8">
        <f t="shared" si="17"/>
        <v>82.533000000000001</v>
      </c>
      <c r="AC40" s="8">
        <f t="shared" si="18"/>
        <v>0</v>
      </c>
      <c r="AD40" s="8">
        <v>330.39</v>
      </c>
      <c r="AE40" s="8">
        <f t="shared" si="19"/>
        <v>99.11699999999999</v>
      </c>
      <c r="AF40" s="9">
        <f t="shared" si="20"/>
        <v>0</v>
      </c>
    </row>
    <row r="41" spans="1:32" ht="12.6" customHeight="1" x14ac:dyDescent="0.3">
      <c r="A41" s="6"/>
      <c r="B41" s="7" t="s">
        <v>88</v>
      </c>
      <c r="C41" s="7" t="s">
        <v>89</v>
      </c>
      <c r="D41" s="8">
        <v>936.55</v>
      </c>
      <c r="E41" s="8">
        <f t="shared" si="0"/>
        <v>280.96499999999997</v>
      </c>
      <c r="F41" s="8">
        <f t="shared" si="1"/>
        <v>0</v>
      </c>
      <c r="G41" s="8"/>
      <c r="H41" s="8">
        <f t="shared" si="2"/>
        <v>0</v>
      </c>
      <c r="I41" s="8">
        <v>991.23</v>
      </c>
      <c r="J41" s="8">
        <f t="shared" si="3"/>
        <v>297.36899999999997</v>
      </c>
      <c r="K41" s="8">
        <f t="shared" si="4"/>
        <v>0</v>
      </c>
      <c r="L41" s="8"/>
      <c r="M41" s="8">
        <f t="shared" si="5"/>
        <v>0</v>
      </c>
      <c r="N41" s="8">
        <f t="shared" si="6"/>
        <v>0</v>
      </c>
      <c r="O41" s="8"/>
      <c r="P41" s="8">
        <f t="shared" si="7"/>
        <v>0</v>
      </c>
      <c r="Q41" s="8">
        <f t="shared" si="8"/>
        <v>0</v>
      </c>
      <c r="R41" s="8">
        <f t="shared" si="21"/>
        <v>0</v>
      </c>
      <c r="S41" s="8">
        <f t="shared" si="10"/>
        <v>0</v>
      </c>
      <c r="T41" s="8">
        <f t="shared" si="11"/>
        <v>0</v>
      </c>
      <c r="U41" s="8">
        <f t="shared" si="12"/>
        <v>0</v>
      </c>
      <c r="V41" s="8">
        <f t="shared" si="13"/>
        <v>0</v>
      </c>
      <c r="W41" s="8">
        <f t="shared" si="14"/>
        <v>0</v>
      </c>
      <c r="X41" s="8">
        <v>1127.96</v>
      </c>
      <c r="Y41" s="8">
        <f t="shared" si="15"/>
        <v>338.38799999999998</v>
      </c>
      <c r="Z41" s="8">
        <f t="shared" si="16"/>
        <v>0</v>
      </c>
      <c r="AA41" s="8"/>
      <c r="AB41" s="8">
        <f t="shared" si="17"/>
        <v>0</v>
      </c>
      <c r="AC41" s="8">
        <f t="shared" si="18"/>
        <v>0</v>
      </c>
      <c r="AD41" s="8"/>
      <c r="AE41" s="8">
        <f t="shared" si="19"/>
        <v>0</v>
      </c>
      <c r="AF41" s="9">
        <f t="shared" si="20"/>
        <v>0</v>
      </c>
    </row>
    <row r="42" spans="1:32" ht="12.6" customHeight="1" x14ac:dyDescent="0.3">
      <c r="A42" s="6"/>
      <c r="B42" s="7" t="s">
        <v>90</v>
      </c>
      <c r="C42" s="7" t="s">
        <v>91</v>
      </c>
      <c r="D42" s="8">
        <v>847.55</v>
      </c>
      <c r="E42" s="8">
        <f t="shared" si="0"/>
        <v>254.26499999999999</v>
      </c>
      <c r="F42" s="8">
        <f t="shared" si="1"/>
        <v>0</v>
      </c>
      <c r="G42" s="8">
        <v>568.36</v>
      </c>
      <c r="H42" s="8">
        <f t="shared" si="2"/>
        <v>170.50800000000001</v>
      </c>
      <c r="I42" s="8">
        <v>338.71</v>
      </c>
      <c r="J42" s="8">
        <f t="shared" si="3"/>
        <v>101.61299999999999</v>
      </c>
      <c r="K42" s="8">
        <f t="shared" si="4"/>
        <v>0</v>
      </c>
      <c r="L42" s="8">
        <v>289.14</v>
      </c>
      <c r="M42" s="8">
        <f t="shared" si="5"/>
        <v>75.176400000000001</v>
      </c>
      <c r="N42" s="8">
        <f t="shared" si="6"/>
        <v>0</v>
      </c>
      <c r="O42" s="8">
        <v>285.44</v>
      </c>
      <c r="P42" s="8">
        <f t="shared" si="7"/>
        <v>85.631999999999991</v>
      </c>
      <c r="Q42" s="8">
        <f t="shared" si="8"/>
        <v>0</v>
      </c>
      <c r="R42" s="8">
        <f t="shared" si="21"/>
        <v>289.14</v>
      </c>
      <c r="S42" s="8">
        <f t="shared" si="10"/>
        <v>86.74199999999999</v>
      </c>
      <c r="T42" s="8">
        <f t="shared" si="11"/>
        <v>0</v>
      </c>
      <c r="U42" s="8">
        <f t="shared" si="12"/>
        <v>289.14</v>
      </c>
      <c r="V42" s="8">
        <f t="shared" si="13"/>
        <v>86.74199999999999</v>
      </c>
      <c r="W42" s="8">
        <f t="shared" si="14"/>
        <v>0</v>
      </c>
      <c r="X42" s="8">
        <v>554.54999999999995</v>
      </c>
      <c r="Y42" s="8">
        <f t="shared" si="15"/>
        <v>166.36499999999998</v>
      </c>
      <c r="Z42" s="8">
        <f t="shared" si="16"/>
        <v>0</v>
      </c>
      <c r="AA42" s="8">
        <v>438.88</v>
      </c>
      <c r="AB42" s="8">
        <f t="shared" si="17"/>
        <v>131.66399999999999</v>
      </c>
      <c r="AC42" s="8">
        <f t="shared" si="18"/>
        <v>0</v>
      </c>
      <c r="AD42" s="8">
        <v>363.79</v>
      </c>
      <c r="AE42" s="8">
        <f t="shared" si="19"/>
        <v>109.137</v>
      </c>
      <c r="AF42" s="9">
        <f t="shared" si="20"/>
        <v>0</v>
      </c>
    </row>
    <row r="43" spans="1:32" ht="12.6" customHeight="1" x14ac:dyDescent="0.3">
      <c r="A43" s="6"/>
      <c r="B43" s="7" t="s">
        <v>92</v>
      </c>
      <c r="C43" s="7" t="s">
        <v>93</v>
      </c>
      <c r="D43" s="8">
        <v>324.58999999999997</v>
      </c>
      <c r="E43" s="8">
        <f t="shared" si="0"/>
        <v>97.376999999999995</v>
      </c>
      <c r="F43" s="8">
        <f t="shared" si="1"/>
        <v>0</v>
      </c>
      <c r="G43" s="8"/>
      <c r="H43" s="8">
        <f t="shared" si="2"/>
        <v>0</v>
      </c>
      <c r="I43" s="8"/>
      <c r="J43" s="8">
        <f t="shared" si="3"/>
        <v>0</v>
      </c>
      <c r="K43" s="8">
        <f t="shared" si="4"/>
        <v>0</v>
      </c>
      <c r="L43" s="8"/>
      <c r="M43" s="8">
        <f t="shared" si="5"/>
        <v>0</v>
      </c>
      <c r="N43" s="8">
        <f t="shared" si="6"/>
        <v>0</v>
      </c>
      <c r="O43" s="8"/>
      <c r="P43" s="8">
        <f t="shared" si="7"/>
        <v>0</v>
      </c>
      <c r="Q43" s="8">
        <f t="shared" si="8"/>
        <v>0</v>
      </c>
      <c r="R43" s="8">
        <f t="shared" si="21"/>
        <v>0</v>
      </c>
      <c r="S43" s="8">
        <f t="shared" si="10"/>
        <v>0</v>
      </c>
      <c r="T43" s="8">
        <f t="shared" si="11"/>
        <v>0</v>
      </c>
      <c r="U43" s="8">
        <f t="shared" si="12"/>
        <v>0</v>
      </c>
      <c r="V43" s="8">
        <f t="shared" si="13"/>
        <v>0</v>
      </c>
      <c r="W43" s="8">
        <f t="shared" si="14"/>
        <v>0</v>
      </c>
      <c r="X43" s="8"/>
      <c r="Y43" s="8">
        <f t="shared" si="15"/>
        <v>0</v>
      </c>
      <c r="Z43" s="8">
        <f t="shared" si="16"/>
        <v>0</v>
      </c>
      <c r="AA43" s="8"/>
      <c r="AB43" s="8">
        <f t="shared" si="17"/>
        <v>0</v>
      </c>
      <c r="AC43" s="8">
        <f t="shared" si="18"/>
        <v>0</v>
      </c>
      <c r="AD43" s="8"/>
      <c r="AE43" s="8">
        <f t="shared" si="19"/>
        <v>0</v>
      </c>
      <c r="AF43" s="9">
        <f t="shared" si="20"/>
        <v>0</v>
      </c>
    </row>
    <row r="44" spans="1:32" ht="12.6" customHeight="1" x14ac:dyDescent="0.3">
      <c r="A44" s="6"/>
      <c r="B44" s="7" t="s">
        <v>94</v>
      </c>
      <c r="C44" s="7" t="s">
        <v>95</v>
      </c>
      <c r="D44" s="8">
        <v>373.26</v>
      </c>
      <c r="E44" s="8">
        <f t="shared" si="0"/>
        <v>111.97799999999999</v>
      </c>
      <c r="F44" s="8">
        <f t="shared" si="1"/>
        <v>0</v>
      </c>
      <c r="G44" s="8"/>
      <c r="H44" s="8">
        <f t="shared" si="2"/>
        <v>0</v>
      </c>
      <c r="I44" s="8"/>
      <c r="J44" s="8">
        <f t="shared" si="3"/>
        <v>0</v>
      </c>
      <c r="K44" s="8">
        <f t="shared" si="4"/>
        <v>0</v>
      </c>
      <c r="L44" s="8"/>
      <c r="M44" s="8">
        <f t="shared" si="5"/>
        <v>0</v>
      </c>
      <c r="N44" s="8">
        <f t="shared" si="6"/>
        <v>0</v>
      </c>
      <c r="O44" s="8"/>
      <c r="P44" s="8">
        <f t="shared" si="7"/>
        <v>0</v>
      </c>
      <c r="Q44" s="8">
        <f t="shared" si="8"/>
        <v>0</v>
      </c>
      <c r="R44" s="8">
        <f t="shared" si="21"/>
        <v>0</v>
      </c>
      <c r="S44" s="8">
        <f t="shared" si="10"/>
        <v>0</v>
      </c>
      <c r="T44" s="8">
        <f t="shared" si="11"/>
        <v>0</v>
      </c>
      <c r="U44" s="8">
        <f t="shared" si="12"/>
        <v>0</v>
      </c>
      <c r="V44" s="8">
        <f t="shared" si="13"/>
        <v>0</v>
      </c>
      <c r="W44" s="8">
        <f t="shared" si="14"/>
        <v>0</v>
      </c>
      <c r="X44" s="8"/>
      <c r="Y44" s="8">
        <f t="shared" si="15"/>
        <v>0</v>
      </c>
      <c r="Z44" s="8">
        <f t="shared" si="16"/>
        <v>0</v>
      </c>
      <c r="AA44" s="8"/>
      <c r="AB44" s="8">
        <f t="shared" si="17"/>
        <v>0</v>
      </c>
      <c r="AC44" s="8">
        <f t="shared" si="18"/>
        <v>0</v>
      </c>
      <c r="AD44" s="8"/>
      <c r="AE44" s="8">
        <f t="shared" si="19"/>
        <v>0</v>
      </c>
      <c r="AF44" s="9">
        <f t="shared" si="20"/>
        <v>0</v>
      </c>
    </row>
    <row r="45" spans="1:32" ht="12.6" customHeight="1" x14ac:dyDescent="0.3">
      <c r="A45" s="6"/>
      <c r="B45" s="7" t="s">
        <v>96</v>
      </c>
      <c r="C45" s="7" t="s">
        <v>97</v>
      </c>
      <c r="D45" s="8">
        <v>442.87</v>
      </c>
      <c r="E45" s="8">
        <f t="shared" si="0"/>
        <v>132.86099999999999</v>
      </c>
      <c r="F45" s="8">
        <f t="shared" si="1"/>
        <v>0</v>
      </c>
      <c r="G45" s="8"/>
      <c r="H45" s="8">
        <f t="shared" si="2"/>
        <v>0</v>
      </c>
      <c r="I45" s="8"/>
      <c r="J45" s="8">
        <f t="shared" si="3"/>
        <v>0</v>
      </c>
      <c r="K45" s="8">
        <f t="shared" si="4"/>
        <v>0</v>
      </c>
      <c r="L45" s="8"/>
      <c r="M45" s="8">
        <f t="shared" si="5"/>
        <v>0</v>
      </c>
      <c r="N45" s="8">
        <f t="shared" si="6"/>
        <v>0</v>
      </c>
      <c r="O45" s="8"/>
      <c r="P45" s="8">
        <f t="shared" si="7"/>
        <v>0</v>
      </c>
      <c r="Q45" s="8">
        <f t="shared" si="8"/>
        <v>0</v>
      </c>
      <c r="R45" s="8">
        <f t="shared" si="21"/>
        <v>0</v>
      </c>
      <c r="S45" s="8">
        <f t="shared" si="10"/>
        <v>0</v>
      </c>
      <c r="T45" s="8">
        <f t="shared" si="11"/>
        <v>0</v>
      </c>
      <c r="U45" s="8">
        <f t="shared" si="12"/>
        <v>0</v>
      </c>
      <c r="V45" s="8">
        <f t="shared" si="13"/>
        <v>0</v>
      </c>
      <c r="W45" s="8">
        <f t="shared" si="14"/>
        <v>0</v>
      </c>
      <c r="X45" s="8"/>
      <c r="Y45" s="8">
        <f t="shared" si="15"/>
        <v>0</v>
      </c>
      <c r="Z45" s="8">
        <f t="shared" si="16"/>
        <v>0</v>
      </c>
      <c r="AA45" s="8"/>
      <c r="AB45" s="8">
        <f t="shared" si="17"/>
        <v>0</v>
      </c>
      <c r="AC45" s="8">
        <f t="shared" si="18"/>
        <v>0</v>
      </c>
      <c r="AD45" s="8"/>
      <c r="AE45" s="8">
        <f t="shared" si="19"/>
        <v>0</v>
      </c>
      <c r="AF45" s="9">
        <f t="shared" si="20"/>
        <v>0</v>
      </c>
    </row>
    <row r="46" spans="1:32" ht="12.6" customHeight="1" x14ac:dyDescent="0.3">
      <c r="A46" s="6"/>
      <c r="B46" s="7" t="s">
        <v>98</v>
      </c>
      <c r="C46" s="7" t="s">
        <v>99</v>
      </c>
      <c r="D46" s="8">
        <v>859.83</v>
      </c>
      <c r="E46" s="8">
        <f t="shared" si="0"/>
        <v>257.94900000000001</v>
      </c>
      <c r="F46" s="8">
        <f t="shared" si="1"/>
        <v>0</v>
      </c>
      <c r="G46" s="8"/>
      <c r="H46" s="8">
        <f t="shared" si="2"/>
        <v>0</v>
      </c>
      <c r="I46" s="8"/>
      <c r="J46" s="8">
        <f t="shared" si="3"/>
        <v>0</v>
      </c>
      <c r="K46" s="8">
        <f t="shared" si="4"/>
        <v>0</v>
      </c>
      <c r="L46" s="8"/>
      <c r="M46" s="8">
        <f t="shared" si="5"/>
        <v>0</v>
      </c>
      <c r="N46" s="8">
        <f t="shared" si="6"/>
        <v>0</v>
      </c>
      <c r="O46" s="8"/>
      <c r="P46" s="8">
        <f t="shared" si="7"/>
        <v>0</v>
      </c>
      <c r="Q46" s="8">
        <f t="shared" si="8"/>
        <v>0</v>
      </c>
      <c r="R46" s="8">
        <f t="shared" si="21"/>
        <v>0</v>
      </c>
      <c r="S46" s="8">
        <f t="shared" si="10"/>
        <v>0</v>
      </c>
      <c r="T46" s="8">
        <f t="shared" si="11"/>
        <v>0</v>
      </c>
      <c r="U46" s="8">
        <f t="shared" si="12"/>
        <v>0</v>
      </c>
      <c r="V46" s="8">
        <f t="shared" si="13"/>
        <v>0</v>
      </c>
      <c r="W46" s="8">
        <f t="shared" si="14"/>
        <v>0</v>
      </c>
      <c r="X46" s="8"/>
      <c r="Y46" s="8">
        <f t="shared" si="15"/>
        <v>0</v>
      </c>
      <c r="Z46" s="8">
        <f t="shared" si="16"/>
        <v>0</v>
      </c>
      <c r="AA46" s="8"/>
      <c r="AB46" s="8">
        <f t="shared" si="17"/>
        <v>0</v>
      </c>
      <c r="AC46" s="8">
        <f t="shared" si="18"/>
        <v>0</v>
      </c>
      <c r="AD46" s="8"/>
      <c r="AE46" s="8">
        <f t="shared" si="19"/>
        <v>0</v>
      </c>
      <c r="AF46" s="9">
        <f t="shared" si="20"/>
        <v>0</v>
      </c>
    </row>
    <row r="47" spans="1:32" ht="12.6" customHeight="1" x14ac:dyDescent="0.3">
      <c r="A47" s="6"/>
      <c r="B47" s="7" t="s">
        <v>100</v>
      </c>
      <c r="C47" s="7" t="s">
        <v>101</v>
      </c>
      <c r="D47" s="8">
        <v>203.84</v>
      </c>
      <c r="E47" s="8">
        <f t="shared" si="0"/>
        <v>61.152000000000001</v>
      </c>
      <c r="F47" s="8">
        <f t="shared" si="1"/>
        <v>0</v>
      </c>
      <c r="G47" s="8"/>
      <c r="H47" s="8">
        <f t="shared" si="2"/>
        <v>0</v>
      </c>
      <c r="I47" s="8"/>
      <c r="J47" s="8">
        <f t="shared" si="3"/>
        <v>0</v>
      </c>
      <c r="K47" s="8">
        <f t="shared" si="4"/>
        <v>0</v>
      </c>
      <c r="L47" s="8"/>
      <c r="M47" s="8">
        <f t="shared" si="5"/>
        <v>0</v>
      </c>
      <c r="N47" s="8">
        <f t="shared" si="6"/>
        <v>0</v>
      </c>
      <c r="O47" s="8"/>
      <c r="P47" s="8">
        <f t="shared" si="7"/>
        <v>0</v>
      </c>
      <c r="Q47" s="8">
        <f t="shared" si="8"/>
        <v>0</v>
      </c>
      <c r="R47" s="8">
        <f t="shared" si="21"/>
        <v>0</v>
      </c>
      <c r="S47" s="8">
        <f t="shared" si="10"/>
        <v>0</v>
      </c>
      <c r="T47" s="8">
        <f t="shared" si="11"/>
        <v>0</v>
      </c>
      <c r="U47" s="8">
        <f t="shared" si="12"/>
        <v>0</v>
      </c>
      <c r="V47" s="8">
        <f t="shared" si="13"/>
        <v>0</v>
      </c>
      <c r="W47" s="8">
        <f t="shared" si="14"/>
        <v>0</v>
      </c>
      <c r="X47" s="8"/>
      <c r="Y47" s="8">
        <f t="shared" si="15"/>
        <v>0</v>
      </c>
      <c r="Z47" s="8">
        <f t="shared" si="16"/>
        <v>0</v>
      </c>
      <c r="AA47" s="8"/>
      <c r="AB47" s="8">
        <f t="shared" si="17"/>
        <v>0</v>
      </c>
      <c r="AC47" s="8">
        <f t="shared" si="18"/>
        <v>0</v>
      </c>
      <c r="AD47" s="8"/>
      <c r="AE47" s="8">
        <f t="shared" si="19"/>
        <v>0</v>
      </c>
      <c r="AF47" s="9">
        <f t="shared" si="20"/>
        <v>0</v>
      </c>
    </row>
    <row r="48" spans="1:32" ht="12.6" customHeight="1" x14ac:dyDescent="0.3">
      <c r="A48" s="6"/>
      <c r="B48" s="7" t="s">
        <v>102</v>
      </c>
      <c r="C48" s="7" t="s">
        <v>103</v>
      </c>
      <c r="D48" s="8">
        <v>1279.76</v>
      </c>
      <c r="E48" s="8">
        <f t="shared" si="0"/>
        <v>383.928</v>
      </c>
      <c r="F48" s="8">
        <f t="shared" si="1"/>
        <v>0</v>
      </c>
      <c r="G48" s="8">
        <v>927.78</v>
      </c>
      <c r="H48" s="8">
        <f t="shared" si="2"/>
        <v>278.334</v>
      </c>
      <c r="I48" s="8">
        <v>442.36</v>
      </c>
      <c r="J48" s="8">
        <f t="shared" si="3"/>
        <v>132.708</v>
      </c>
      <c r="K48" s="8">
        <f t="shared" si="4"/>
        <v>0</v>
      </c>
      <c r="L48" s="8">
        <v>366.63</v>
      </c>
      <c r="M48" s="8">
        <f t="shared" si="5"/>
        <v>95.323800000000006</v>
      </c>
      <c r="N48" s="8">
        <f t="shared" si="6"/>
        <v>0</v>
      </c>
      <c r="O48" s="8">
        <v>346.22</v>
      </c>
      <c r="P48" s="8">
        <f t="shared" si="7"/>
        <v>103.866</v>
      </c>
      <c r="Q48" s="8">
        <f t="shared" si="8"/>
        <v>0</v>
      </c>
      <c r="R48" s="8">
        <f t="shared" si="21"/>
        <v>366.63</v>
      </c>
      <c r="S48" s="8">
        <f t="shared" si="10"/>
        <v>109.98899999999999</v>
      </c>
      <c r="T48" s="8">
        <f t="shared" si="11"/>
        <v>0</v>
      </c>
      <c r="U48" s="8">
        <f t="shared" si="12"/>
        <v>366.63</v>
      </c>
      <c r="V48" s="8">
        <f t="shared" si="13"/>
        <v>109.98899999999999</v>
      </c>
      <c r="W48" s="8">
        <f t="shared" si="14"/>
        <v>0</v>
      </c>
      <c r="X48" s="8">
        <v>853.14</v>
      </c>
      <c r="Y48" s="8">
        <f t="shared" si="15"/>
        <v>255.94199999999998</v>
      </c>
      <c r="Z48" s="8">
        <f t="shared" si="16"/>
        <v>0</v>
      </c>
      <c r="AA48" s="8">
        <v>399.39</v>
      </c>
      <c r="AB48" s="8">
        <f t="shared" si="17"/>
        <v>119.81699999999999</v>
      </c>
      <c r="AC48" s="8">
        <f t="shared" si="18"/>
        <v>0</v>
      </c>
      <c r="AD48" s="8">
        <v>480.76</v>
      </c>
      <c r="AE48" s="8">
        <f t="shared" si="19"/>
        <v>144.22799999999998</v>
      </c>
      <c r="AF48" s="9">
        <f t="shared" si="20"/>
        <v>0</v>
      </c>
    </row>
    <row r="49" spans="1:32" ht="12.6" customHeight="1" x14ac:dyDescent="0.3">
      <c r="A49" s="6"/>
      <c r="B49" s="7" t="s">
        <v>104</v>
      </c>
      <c r="C49" s="7" t="s">
        <v>105</v>
      </c>
      <c r="D49" s="8"/>
      <c r="E49" s="8">
        <f t="shared" si="0"/>
        <v>0</v>
      </c>
      <c r="F49" s="8">
        <f t="shared" si="1"/>
        <v>0</v>
      </c>
      <c r="G49" s="8"/>
      <c r="H49" s="8">
        <f t="shared" si="2"/>
        <v>0</v>
      </c>
      <c r="I49" s="8"/>
      <c r="J49" s="8">
        <f t="shared" si="3"/>
        <v>0</v>
      </c>
      <c r="K49" s="8">
        <f t="shared" si="4"/>
        <v>0</v>
      </c>
      <c r="L49" s="8"/>
      <c r="M49" s="8">
        <f t="shared" si="5"/>
        <v>0</v>
      </c>
      <c r="N49" s="8">
        <f t="shared" si="6"/>
        <v>0</v>
      </c>
      <c r="O49" s="8"/>
      <c r="P49" s="8">
        <f t="shared" si="7"/>
        <v>0</v>
      </c>
      <c r="Q49" s="8">
        <f t="shared" si="8"/>
        <v>0</v>
      </c>
      <c r="R49" s="8"/>
      <c r="S49" s="8">
        <f t="shared" si="10"/>
        <v>0</v>
      </c>
      <c r="T49" s="8">
        <f t="shared" si="11"/>
        <v>0</v>
      </c>
      <c r="U49" s="8">
        <f t="shared" si="12"/>
        <v>0</v>
      </c>
      <c r="V49" s="8">
        <f t="shared" si="13"/>
        <v>0</v>
      </c>
      <c r="W49" s="8">
        <f t="shared" si="14"/>
        <v>0</v>
      </c>
      <c r="X49" s="8"/>
      <c r="Y49" s="8">
        <f t="shared" si="15"/>
        <v>0</v>
      </c>
      <c r="Z49" s="8">
        <f t="shared" si="16"/>
        <v>0</v>
      </c>
      <c r="AA49" s="8"/>
      <c r="AB49" s="8">
        <f t="shared" si="17"/>
        <v>0</v>
      </c>
      <c r="AC49" s="8">
        <f t="shared" si="18"/>
        <v>0</v>
      </c>
      <c r="AD49" s="8"/>
      <c r="AE49" s="8">
        <f t="shared" si="19"/>
        <v>0</v>
      </c>
      <c r="AF49" s="9">
        <f t="shared" si="20"/>
        <v>0</v>
      </c>
    </row>
    <row r="50" spans="1:32" ht="12.6" customHeight="1" x14ac:dyDescent="0.3">
      <c r="A50" s="6"/>
      <c r="B50" s="7" t="s">
        <v>106</v>
      </c>
      <c r="C50" s="7" t="s">
        <v>107</v>
      </c>
      <c r="D50" s="8">
        <v>1333.71</v>
      </c>
      <c r="E50" s="8">
        <f t="shared" si="0"/>
        <v>400.113</v>
      </c>
      <c r="F50" s="8">
        <f t="shared" si="1"/>
        <v>0</v>
      </c>
      <c r="G50" s="8">
        <v>948.31</v>
      </c>
      <c r="H50" s="8">
        <f t="shared" si="2"/>
        <v>284.49299999999999</v>
      </c>
      <c r="I50" s="8">
        <v>480.56</v>
      </c>
      <c r="J50" s="8">
        <f t="shared" si="3"/>
        <v>144.16800000000001</v>
      </c>
      <c r="K50" s="8">
        <f t="shared" si="4"/>
        <v>0</v>
      </c>
      <c r="L50" s="8">
        <v>399.29</v>
      </c>
      <c r="M50" s="8">
        <f t="shared" si="5"/>
        <v>103.81540000000001</v>
      </c>
      <c r="N50" s="8">
        <f t="shared" si="6"/>
        <v>0</v>
      </c>
      <c r="O50" s="8">
        <v>377.06</v>
      </c>
      <c r="P50" s="8">
        <f t="shared" si="7"/>
        <v>113.11799999999999</v>
      </c>
      <c r="Q50" s="8">
        <f t="shared" si="8"/>
        <v>0</v>
      </c>
      <c r="R50" s="8">
        <f>L50</f>
        <v>399.29</v>
      </c>
      <c r="S50" s="8">
        <f t="shared" si="10"/>
        <v>119.78700000000001</v>
      </c>
      <c r="T50" s="8">
        <f t="shared" si="11"/>
        <v>0</v>
      </c>
      <c r="U50" s="8">
        <f t="shared" si="12"/>
        <v>399.29</v>
      </c>
      <c r="V50" s="8">
        <f t="shared" si="13"/>
        <v>119.78700000000001</v>
      </c>
      <c r="W50" s="8">
        <f t="shared" si="14"/>
        <v>0</v>
      </c>
      <c r="X50" s="8">
        <v>917.6</v>
      </c>
      <c r="Y50" s="8">
        <f t="shared" si="15"/>
        <v>275.27999999999997</v>
      </c>
      <c r="Z50" s="8">
        <f t="shared" si="16"/>
        <v>0</v>
      </c>
      <c r="AA50" s="8">
        <v>436.47</v>
      </c>
      <c r="AB50" s="8">
        <f t="shared" si="17"/>
        <v>130.941</v>
      </c>
      <c r="AC50" s="8">
        <f t="shared" si="18"/>
        <v>0</v>
      </c>
      <c r="AD50" s="8">
        <v>520.14</v>
      </c>
      <c r="AE50" s="8">
        <f t="shared" si="19"/>
        <v>156.042</v>
      </c>
      <c r="AF50" s="9">
        <f t="shared" si="20"/>
        <v>0</v>
      </c>
    </row>
    <row r="51" spans="1:32" ht="12.6" customHeight="1" x14ac:dyDescent="0.3">
      <c r="A51" s="6"/>
      <c r="B51" s="7" t="s">
        <v>108</v>
      </c>
      <c r="C51" s="7" t="s">
        <v>109</v>
      </c>
      <c r="D51" s="8"/>
      <c r="E51" s="8">
        <f t="shared" si="0"/>
        <v>0</v>
      </c>
      <c r="F51" s="8">
        <f t="shared" si="1"/>
        <v>0</v>
      </c>
      <c r="G51" s="8"/>
      <c r="H51" s="8">
        <f t="shared" si="2"/>
        <v>0</v>
      </c>
      <c r="I51" s="8"/>
      <c r="J51" s="8">
        <f t="shared" si="3"/>
        <v>0</v>
      </c>
      <c r="K51" s="8">
        <f t="shared" si="4"/>
        <v>0</v>
      </c>
      <c r="L51" s="8"/>
      <c r="M51" s="8">
        <f t="shared" si="5"/>
        <v>0</v>
      </c>
      <c r="N51" s="8">
        <f t="shared" si="6"/>
        <v>0</v>
      </c>
      <c r="O51" s="8"/>
      <c r="P51" s="8">
        <f t="shared" si="7"/>
        <v>0</v>
      </c>
      <c r="Q51" s="8">
        <f t="shared" si="8"/>
        <v>0</v>
      </c>
      <c r="R51" s="8"/>
      <c r="S51" s="8">
        <f t="shared" si="10"/>
        <v>0</v>
      </c>
      <c r="T51" s="8">
        <f t="shared" si="11"/>
        <v>0</v>
      </c>
      <c r="U51" s="8">
        <f t="shared" si="12"/>
        <v>0</v>
      </c>
      <c r="V51" s="8">
        <f t="shared" si="13"/>
        <v>0</v>
      </c>
      <c r="W51" s="8">
        <f t="shared" si="14"/>
        <v>0</v>
      </c>
      <c r="X51" s="8"/>
      <c r="Y51" s="8">
        <f t="shared" si="15"/>
        <v>0</v>
      </c>
      <c r="Z51" s="8">
        <f t="shared" si="16"/>
        <v>0</v>
      </c>
      <c r="AA51" s="8"/>
      <c r="AB51" s="8">
        <f t="shared" si="17"/>
        <v>0</v>
      </c>
      <c r="AC51" s="8">
        <f t="shared" si="18"/>
        <v>0</v>
      </c>
      <c r="AD51" s="8"/>
      <c r="AE51" s="8">
        <f t="shared" si="19"/>
        <v>0</v>
      </c>
      <c r="AF51" s="9">
        <f t="shared" si="20"/>
        <v>0</v>
      </c>
    </row>
    <row r="52" spans="1:32" ht="12.6" customHeight="1" x14ac:dyDescent="0.3">
      <c r="A52" s="6"/>
      <c r="B52" s="7" t="s">
        <v>110</v>
      </c>
      <c r="C52" s="7" t="s">
        <v>111</v>
      </c>
      <c r="D52" s="8"/>
      <c r="E52" s="8">
        <f t="shared" si="0"/>
        <v>0</v>
      </c>
      <c r="F52" s="8">
        <f t="shared" si="1"/>
        <v>0</v>
      </c>
      <c r="G52" s="8"/>
      <c r="H52" s="8">
        <f t="shared" si="2"/>
        <v>0</v>
      </c>
      <c r="I52" s="8">
        <v>513.29</v>
      </c>
      <c r="J52" s="8">
        <f t="shared" si="3"/>
        <v>153.98699999999999</v>
      </c>
      <c r="K52" s="8">
        <f t="shared" si="4"/>
        <v>0</v>
      </c>
      <c r="L52" s="8">
        <v>432.08</v>
      </c>
      <c r="M52" s="8">
        <f t="shared" si="5"/>
        <v>112.3408</v>
      </c>
      <c r="N52" s="8">
        <f t="shared" si="6"/>
        <v>0</v>
      </c>
      <c r="O52" s="8">
        <v>407.94</v>
      </c>
      <c r="P52" s="8">
        <f t="shared" si="7"/>
        <v>122.38199999999999</v>
      </c>
      <c r="Q52" s="8">
        <f t="shared" si="8"/>
        <v>0</v>
      </c>
      <c r="R52" s="8">
        <f>L52</f>
        <v>432.08</v>
      </c>
      <c r="S52" s="8">
        <f t="shared" si="10"/>
        <v>129.624</v>
      </c>
      <c r="T52" s="8">
        <f t="shared" si="11"/>
        <v>0</v>
      </c>
      <c r="U52" s="8">
        <f t="shared" si="12"/>
        <v>432.08</v>
      </c>
      <c r="V52" s="8">
        <f t="shared" si="13"/>
        <v>129.624</v>
      </c>
      <c r="W52" s="8">
        <f t="shared" si="14"/>
        <v>0</v>
      </c>
      <c r="X52" s="8">
        <v>982.06</v>
      </c>
      <c r="Y52" s="8">
        <f t="shared" si="15"/>
        <v>294.61799999999999</v>
      </c>
      <c r="Z52" s="8">
        <f t="shared" si="16"/>
        <v>0</v>
      </c>
      <c r="AA52" s="8">
        <v>469.51</v>
      </c>
      <c r="AB52" s="8">
        <f t="shared" si="17"/>
        <v>140.85299999999998</v>
      </c>
      <c r="AC52" s="8">
        <f t="shared" si="18"/>
        <v>0</v>
      </c>
      <c r="AD52" s="8">
        <v>555.6</v>
      </c>
      <c r="AE52" s="8">
        <f t="shared" si="19"/>
        <v>166.68</v>
      </c>
      <c r="AF52" s="9">
        <f t="shared" si="20"/>
        <v>0</v>
      </c>
    </row>
    <row r="53" spans="1:32" ht="12.6" customHeight="1" x14ac:dyDescent="0.3">
      <c r="A53" s="6"/>
      <c r="B53" s="7" t="s">
        <v>112</v>
      </c>
      <c r="C53" s="7" t="s">
        <v>113</v>
      </c>
      <c r="D53" s="8">
        <v>1387.58</v>
      </c>
      <c r="E53" s="8">
        <f t="shared" si="0"/>
        <v>416.27399999999994</v>
      </c>
      <c r="F53" s="8">
        <f t="shared" si="1"/>
        <v>0</v>
      </c>
      <c r="G53" s="8">
        <v>971.79</v>
      </c>
      <c r="H53" s="8">
        <f t="shared" si="2"/>
        <v>291.53699999999998</v>
      </c>
      <c r="I53" s="10"/>
      <c r="J53" s="8">
        <f t="shared" si="3"/>
        <v>0</v>
      </c>
      <c r="K53" s="8">
        <f t="shared" si="4"/>
        <v>0</v>
      </c>
      <c r="L53" s="10"/>
      <c r="M53" s="8">
        <f t="shared" si="5"/>
        <v>0</v>
      </c>
      <c r="N53" s="8">
        <f t="shared" si="6"/>
        <v>0</v>
      </c>
      <c r="O53" s="10"/>
      <c r="P53" s="8">
        <f t="shared" si="7"/>
        <v>0</v>
      </c>
      <c r="Q53" s="8">
        <f t="shared" si="8"/>
        <v>0</v>
      </c>
      <c r="R53" s="10"/>
      <c r="S53" s="8">
        <f t="shared" si="10"/>
        <v>0</v>
      </c>
      <c r="T53" s="8">
        <f t="shared" si="11"/>
        <v>0</v>
      </c>
      <c r="U53" s="8">
        <f t="shared" si="12"/>
        <v>0</v>
      </c>
      <c r="V53" s="8">
        <f t="shared" si="13"/>
        <v>0</v>
      </c>
      <c r="W53" s="8">
        <f t="shared" si="14"/>
        <v>0</v>
      </c>
      <c r="X53" s="11"/>
      <c r="Y53" s="8">
        <f t="shared" si="15"/>
        <v>0</v>
      </c>
      <c r="Z53" s="8">
        <f t="shared" si="16"/>
        <v>0</v>
      </c>
      <c r="AA53" s="8"/>
      <c r="AB53" s="8">
        <f t="shared" si="17"/>
        <v>0</v>
      </c>
      <c r="AC53" s="8">
        <f t="shared" si="18"/>
        <v>0</v>
      </c>
      <c r="AD53" s="8"/>
      <c r="AE53" s="8">
        <f t="shared" si="19"/>
        <v>0</v>
      </c>
      <c r="AF53" s="9">
        <f t="shared" si="20"/>
        <v>0</v>
      </c>
    </row>
    <row r="54" spans="1:32" ht="12.6" customHeight="1" x14ac:dyDescent="0.3">
      <c r="A54" s="6"/>
      <c r="B54" s="7" t="s">
        <v>114</v>
      </c>
      <c r="C54" s="7" t="s">
        <v>115</v>
      </c>
      <c r="D54" s="8">
        <v>1347.06</v>
      </c>
      <c r="E54" s="8">
        <f t="shared" si="0"/>
        <v>404.11799999999999</v>
      </c>
      <c r="F54" s="8">
        <f t="shared" si="1"/>
        <v>0</v>
      </c>
      <c r="G54" s="8">
        <v>956.87</v>
      </c>
      <c r="H54" s="8">
        <f t="shared" si="2"/>
        <v>287.06099999999998</v>
      </c>
      <c r="I54" s="8">
        <v>483.84</v>
      </c>
      <c r="J54" s="8">
        <f t="shared" si="3"/>
        <v>145.15199999999999</v>
      </c>
      <c r="K54" s="8">
        <f t="shared" si="4"/>
        <v>0</v>
      </c>
      <c r="L54" s="8">
        <v>405.66</v>
      </c>
      <c r="M54" s="8">
        <f t="shared" si="5"/>
        <v>105.47160000000001</v>
      </c>
      <c r="N54" s="8">
        <f t="shared" si="6"/>
        <v>0</v>
      </c>
      <c r="O54" s="8"/>
      <c r="P54" s="8">
        <f t="shared" si="7"/>
        <v>0</v>
      </c>
      <c r="Q54" s="8">
        <f t="shared" si="8"/>
        <v>0</v>
      </c>
      <c r="R54" s="8">
        <f t="shared" ref="R54:R56" si="22">L54</f>
        <v>405.66</v>
      </c>
      <c r="S54" s="8">
        <f t="shared" si="10"/>
        <v>121.69800000000001</v>
      </c>
      <c r="T54" s="8">
        <f t="shared" si="11"/>
        <v>0</v>
      </c>
      <c r="U54" s="8">
        <f t="shared" si="12"/>
        <v>405.66</v>
      </c>
      <c r="V54" s="8">
        <f t="shared" si="13"/>
        <v>121.69800000000001</v>
      </c>
      <c r="W54" s="8">
        <f t="shared" si="14"/>
        <v>0</v>
      </c>
      <c r="X54" s="8"/>
      <c r="Y54" s="8">
        <f t="shared" si="15"/>
        <v>0</v>
      </c>
      <c r="Z54" s="8">
        <f t="shared" si="16"/>
        <v>0</v>
      </c>
      <c r="AA54" s="8"/>
      <c r="AB54" s="8">
        <f t="shared" si="17"/>
        <v>0</v>
      </c>
      <c r="AC54" s="8">
        <f t="shared" si="18"/>
        <v>0</v>
      </c>
      <c r="AD54" s="8"/>
      <c r="AE54" s="8">
        <f t="shared" si="19"/>
        <v>0</v>
      </c>
      <c r="AF54" s="9">
        <f t="shared" si="20"/>
        <v>0</v>
      </c>
    </row>
    <row r="55" spans="1:32" ht="12.6" customHeight="1" x14ac:dyDescent="0.3">
      <c r="A55" s="6"/>
      <c r="B55" s="7" t="s">
        <v>116</v>
      </c>
      <c r="C55" s="7" t="s">
        <v>117</v>
      </c>
      <c r="D55" s="8">
        <v>1403.95</v>
      </c>
      <c r="E55" s="8">
        <f t="shared" si="0"/>
        <v>421.185</v>
      </c>
      <c r="F55" s="8">
        <f t="shared" si="1"/>
        <v>0</v>
      </c>
      <c r="G55" s="8">
        <v>994.25</v>
      </c>
      <c r="H55" s="8">
        <f t="shared" si="2"/>
        <v>298.27499999999998</v>
      </c>
      <c r="I55" s="8">
        <v>508.35</v>
      </c>
      <c r="J55" s="8">
        <f t="shared" si="3"/>
        <v>152.505</v>
      </c>
      <c r="K55" s="8">
        <f t="shared" si="4"/>
        <v>0</v>
      </c>
      <c r="L55" s="8">
        <v>424.55</v>
      </c>
      <c r="M55" s="8">
        <f t="shared" si="5"/>
        <v>110.38300000000001</v>
      </c>
      <c r="N55" s="8">
        <f t="shared" si="6"/>
        <v>0</v>
      </c>
      <c r="O55" s="8"/>
      <c r="P55" s="8">
        <f t="shared" si="7"/>
        <v>0</v>
      </c>
      <c r="Q55" s="8">
        <f t="shared" si="8"/>
        <v>0</v>
      </c>
      <c r="R55" s="8">
        <f t="shared" si="22"/>
        <v>424.55</v>
      </c>
      <c r="S55" s="8">
        <f t="shared" si="10"/>
        <v>127.36499999999999</v>
      </c>
      <c r="T55" s="8">
        <f t="shared" si="11"/>
        <v>0</v>
      </c>
      <c r="U55" s="8">
        <f t="shared" si="12"/>
        <v>424.55</v>
      </c>
      <c r="V55" s="8">
        <f t="shared" si="13"/>
        <v>127.36499999999999</v>
      </c>
      <c r="W55" s="8">
        <f t="shared" si="14"/>
        <v>0</v>
      </c>
      <c r="X55" s="8"/>
      <c r="Y55" s="8">
        <f t="shared" si="15"/>
        <v>0</v>
      </c>
      <c r="Z55" s="8">
        <f t="shared" si="16"/>
        <v>0</v>
      </c>
      <c r="AA55" s="8"/>
      <c r="AB55" s="8">
        <f t="shared" si="17"/>
        <v>0</v>
      </c>
      <c r="AC55" s="8">
        <f t="shared" si="18"/>
        <v>0</v>
      </c>
      <c r="AD55" s="8"/>
      <c r="AE55" s="8">
        <f t="shared" si="19"/>
        <v>0</v>
      </c>
      <c r="AF55" s="9">
        <f t="shared" si="20"/>
        <v>0</v>
      </c>
    </row>
    <row r="56" spans="1:32" ht="12.6" customHeight="1" x14ac:dyDescent="0.3">
      <c r="A56" s="6"/>
      <c r="B56" s="7" t="s">
        <v>118</v>
      </c>
      <c r="C56" s="7" t="s">
        <v>119</v>
      </c>
      <c r="D56" s="8">
        <v>1460.57</v>
      </c>
      <c r="E56" s="8">
        <f t="shared" si="0"/>
        <v>438.17099999999999</v>
      </c>
      <c r="F56" s="8">
        <f t="shared" si="1"/>
        <v>0</v>
      </c>
      <c r="G56" s="8">
        <v>1019.73</v>
      </c>
      <c r="H56" s="8">
        <f t="shared" si="2"/>
        <v>305.91899999999998</v>
      </c>
      <c r="I56" s="8">
        <v>545.26</v>
      </c>
      <c r="J56" s="8">
        <f t="shared" si="3"/>
        <v>163.578</v>
      </c>
      <c r="K56" s="8">
        <f t="shared" si="4"/>
        <v>0</v>
      </c>
      <c r="L56" s="8">
        <v>457.68</v>
      </c>
      <c r="M56" s="8">
        <f t="shared" si="5"/>
        <v>118.99680000000001</v>
      </c>
      <c r="N56" s="8">
        <f t="shared" si="6"/>
        <v>0</v>
      </c>
      <c r="O56" s="8"/>
      <c r="P56" s="8">
        <f t="shared" si="7"/>
        <v>0</v>
      </c>
      <c r="Q56" s="8">
        <f t="shared" si="8"/>
        <v>0</v>
      </c>
      <c r="R56" s="8">
        <f t="shared" si="22"/>
        <v>457.68</v>
      </c>
      <c r="S56" s="8">
        <f t="shared" si="10"/>
        <v>137.304</v>
      </c>
      <c r="T56" s="8">
        <f t="shared" si="11"/>
        <v>0</v>
      </c>
      <c r="U56" s="8">
        <f t="shared" si="12"/>
        <v>457.68</v>
      </c>
      <c r="V56" s="8">
        <f t="shared" si="13"/>
        <v>137.304</v>
      </c>
      <c r="W56" s="8">
        <f t="shared" si="14"/>
        <v>0</v>
      </c>
      <c r="X56" s="8"/>
      <c r="Y56" s="8">
        <f t="shared" si="15"/>
        <v>0</v>
      </c>
      <c r="Z56" s="8">
        <f t="shared" si="16"/>
        <v>0</v>
      </c>
      <c r="AA56" s="8"/>
      <c r="AB56" s="8">
        <f t="shared" si="17"/>
        <v>0</v>
      </c>
      <c r="AC56" s="8">
        <f t="shared" si="18"/>
        <v>0</v>
      </c>
      <c r="AD56" s="8"/>
      <c r="AE56" s="8">
        <f t="shared" si="19"/>
        <v>0</v>
      </c>
      <c r="AF56" s="9">
        <f t="shared" si="20"/>
        <v>0</v>
      </c>
    </row>
    <row r="57" spans="1:32" ht="12.6" customHeight="1" x14ac:dyDescent="0.3">
      <c r="A57" s="6"/>
      <c r="B57" s="7" t="s">
        <v>120</v>
      </c>
      <c r="C57" s="7" t="s">
        <v>121</v>
      </c>
      <c r="D57" s="8"/>
      <c r="E57" s="8">
        <f t="shared" si="0"/>
        <v>0</v>
      </c>
      <c r="F57" s="8">
        <f t="shared" si="1"/>
        <v>0</v>
      </c>
      <c r="G57" s="8"/>
      <c r="H57" s="8">
        <f t="shared" si="2"/>
        <v>0</v>
      </c>
      <c r="I57" s="8"/>
      <c r="J57" s="8">
        <f t="shared" si="3"/>
        <v>0</v>
      </c>
      <c r="K57" s="8">
        <f t="shared" si="4"/>
        <v>0</v>
      </c>
      <c r="L57" s="8"/>
      <c r="M57" s="8">
        <f t="shared" si="5"/>
        <v>0</v>
      </c>
      <c r="N57" s="8">
        <f t="shared" si="6"/>
        <v>0</v>
      </c>
      <c r="O57" s="8"/>
      <c r="P57" s="8">
        <f t="shared" si="7"/>
        <v>0</v>
      </c>
      <c r="Q57" s="8">
        <f t="shared" si="8"/>
        <v>0</v>
      </c>
      <c r="R57" s="8"/>
      <c r="S57" s="8">
        <f t="shared" si="10"/>
        <v>0</v>
      </c>
      <c r="T57" s="8">
        <f t="shared" si="11"/>
        <v>0</v>
      </c>
      <c r="U57" s="8">
        <f t="shared" si="12"/>
        <v>0</v>
      </c>
      <c r="V57" s="8">
        <f t="shared" si="13"/>
        <v>0</v>
      </c>
      <c r="W57" s="8">
        <f t="shared" si="14"/>
        <v>0</v>
      </c>
      <c r="X57" s="8"/>
      <c r="Y57" s="8">
        <f t="shared" si="15"/>
        <v>0</v>
      </c>
      <c r="Z57" s="8">
        <f t="shared" si="16"/>
        <v>0</v>
      </c>
      <c r="AA57" s="8"/>
      <c r="AB57" s="8">
        <f t="shared" si="17"/>
        <v>0</v>
      </c>
      <c r="AC57" s="8">
        <f t="shared" si="18"/>
        <v>0</v>
      </c>
      <c r="AD57" s="8">
        <v>582.02</v>
      </c>
      <c r="AE57" s="8">
        <f t="shared" si="19"/>
        <v>174.60599999999999</v>
      </c>
      <c r="AF57" s="9">
        <f t="shared" si="20"/>
        <v>0</v>
      </c>
    </row>
    <row r="58" spans="1:32" ht="12.6" customHeight="1" x14ac:dyDescent="0.3">
      <c r="A58" s="6"/>
      <c r="B58" s="7" t="s">
        <v>122</v>
      </c>
      <c r="C58" s="7" t="s">
        <v>123</v>
      </c>
      <c r="D58" s="8"/>
      <c r="E58" s="8">
        <f t="shared" si="0"/>
        <v>0</v>
      </c>
      <c r="F58" s="8">
        <f t="shared" si="1"/>
        <v>0</v>
      </c>
      <c r="G58" s="8"/>
      <c r="H58" s="8">
        <f t="shared" si="2"/>
        <v>0</v>
      </c>
      <c r="I58" s="8"/>
      <c r="J58" s="8">
        <f t="shared" si="3"/>
        <v>0</v>
      </c>
      <c r="K58" s="8">
        <f t="shared" si="4"/>
        <v>0</v>
      </c>
      <c r="L58" s="8"/>
      <c r="M58" s="8">
        <f t="shared" si="5"/>
        <v>0</v>
      </c>
      <c r="N58" s="8">
        <f t="shared" si="6"/>
        <v>0</v>
      </c>
      <c r="O58" s="8"/>
      <c r="P58" s="8">
        <f t="shared" si="7"/>
        <v>0</v>
      </c>
      <c r="Q58" s="8">
        <f t="shared" si="8"/>
        <v>0</v>
      </c>
      <c r="R58" s="8"/>
      <c r="S58" s="8">
        <f t="shared" si="10"/>
        <v>0</v>
      </c>
      <c r="T58" s="8">
        <f t="shared" si="11"/>
        <v>0</v>
      </c>
      <c r="U58" s="8">
        <f t="shared" si="12"/>
        <v>0</v>
      </c>
      <c r="V58" s="8">
        <f t="shared" si="13"/>
        <v>0</v>
      </c>
      <c r="W58" s="8">
        <f t="shared" si="14"/>
        <v>0</v>
      </c>
      <c r="X58" s="8"/>
      <c r="Y58" s="8">
        <f t="shared" si="15"/>
        <v>0</v>
      </c>
      <c r="Z58" s="8">
        <f t="shared" si="16"/>
        <v>0</v>
      </c>
      <c r="AA58" s="8"/>
      <c r="AB58" s="8">
        <f t="shared" si="17"/>
        <v>0</v>
      </c>
      <c r="AC58" s="8">
        <f t="shared" si="18"/>
        <v>0</v>
      </c>
      <c r="AD58" s="8">
        <v>631</v>
      </c>
      <c r="AE58" s="8">
        <f t="shared" si="19"/>
        <v>189.29999999999998</v>
      </c>
      <c r="AF58" s="9">
        <f t="shared" si="20"/>
        <v>0</v>
      </c>
    </row>
    <row r="59" spans="1:32" ht="12.6" customHeight="1" x14ac:dyDescent="0.3">
      <c r="A59" s="6"/>
      <c r="B59" s="7" t="s">
        <v>124</v>
      </c>
      <c r="C59" s="7" t="s">
        <v>125</v>
      </c>
      <c r="D59" s="8"/>
      <c r="E59" s="8">
        <f t="shared" si="0"/>
        <v>0</v>
      </c>
      <c r="F59" s="8">
        <f t="shared" si="1"/>
        <v>0</v>
      </c>
      <c r="G59" s="8"/>
      <c r="H59" s="8">
        <f t="shared" si="2"/>
        <v>0</v>
      </c>
      <c r="I59" s="8"/>
      <c r="J59" s="8">
        <f t="shared" si="3"/>
        <v>0</v>
      </c>
      <c r="K59" s="8">
        <f t="shared" si="4"/>
        <v>0</v>
      </c>
      <c r="L59" s="8"/>
      <c r="M59" s="8">
        <f t="shared" si="5"/>
        <v>0</v>
      </c>
      <c r="N59" s="8">
        <f t="shared" si="6"/>
        <v>0</v>
      </c>
      <c r="O59" s="8"/>
      <c r="P59" s="8">
        <f t="shared" si="7"/>
        <v>0</v>
      </c>
      <c r="Q59" s="8">
        <f t="shared" si="8"/>
        <v>0</v>
      </c>
      <c r="R59" s="8"/>
      <c r="S59" s="8">
        <f t="shared" si="10"/>
        <v>0</v>
      </c>
      <c r="T59" s="8">
        <f t="shared" si="11"/>
        <v>0</v>
      </c>
      <c r="U59" s="8">
        <f t="shared" si="12"/>
        <v>0</v>
      </c>
      <c r="V59" s="8">
        <f t="shared" si="13"/>
        <v>0</v>
      </c>
      <c r="W59" s="8">
        <f t="shared" si="14"/>
        <v>0</v>
      </c>
      <c r="X59" s="8"/>
      <c r="Y59" s="8">
        <f t="shared" si="15"/>
        <v>0</v>
      </c>
      <c r="Z59" s="8">
        <f t="shared" si="16"/>
        <v>0</v>
      </c>
      <c r="AA59" s="8"/>
      <c r="AB59" s="8">
        <f t="shared" si="17"/>
        <v>0</v>
      </c>
      <c r="AC59" s="8">
        <f t="shared" si="18"/>
        <v>0</v>
      </c>
      <c r="AD59" s="8">
        <v>637.09</v>
      </c>
      <c r="AE59" s="8">
        <f t="shared" si="19"/>
        <v>191.12700000000001</v>
      </c>
      <c r="AF59" s="9">
        <f t="shared" si="20"/>
        <v>0</v>
      </c>
    </row>
    <row r="60" spans="1:32" ht="12.6" customHeight="1" x14ac:dyDescent="0.3">
      <c r="A60" s="6"/>
      <c r="B60" s="7" t="s">
        <v>126</v>
      </c>
      <c r="C60" s="7" t="s">
        <v>127</v>
      </c>
      <c r="D60" s="8">
        <v>970.49</v>
      </c>
      <c r="E60" s="8">
        <f t="shared" si="0"/>
        <v>291.14699999999999</v>
      </c>
      <c r="F60" s="8">
        <f t="shared" si="1"/>
        <v>0</v>
      </c>
      <c r="G60" s="8">
        <v>464.34</v>
      </c>
      <c r="H60" s="8">
        <f t="shared" si="2"/>
        <v>139.30199999999999</v>
      </c>
      <c r="I60" s="8">
        <v>554.23</v>
      </c>
      <c r="J60" s="8">
        <f t="shared" si="3"/>
        <v>166.26900000000001</v>
      </c>
      <c r="K60" s="8">
        <f t="shared" si="4"/>
        <v>0</v>
      </c>
      <c r="L60" s="8">
        <v>515.27</v>
      </c>
      <c r="M60" s="8">
        <f t="shared" si="5"/>
        <v>133.97020000000001</v>
      </c>
      <c r="N60" s="8">
        <f t="shared" si="6"/>
        <v>0</v>
      </c>
      <c r="O60" s="8">
        <v>486.52</v>
      </c>
      <c r="P60" s="8">
        <f t="shared" si="7"/>
        <v>145.95599999999999</v>
      </c>
      <c r="Q60" s="8">
        <f t="shared" si="8"/>
        <v>0</v>
      </c>
      <c r="R60" s="8">
        <f t="shared" ref="R60:R100" si="23">L60</f>
        <v>515.27</v>
      </c>
      <c r="S60" s="8">
        <f t="shared" si="10"/>
        <v>154.58099999999999</v>
      </c>
      <c r="T60" s="8">
        <f t="shared" si="11"/>
        <v>0</v>
      </c>
      <c r="U60" s="8">
        <f t="shared" si="12"/>
        <v>515.27</v>
      </c>
      <c r="V60" s="8">
        <f t="shared" si="13"/>
        <v>154.58099999999999</v>
      </c>
      <c r="W60" s="8">
        <f t="shared" si="14"/>
        <v>0</v>
      </c>
      <c r="X60" s="8">
        <v>596.92999999999995</v>
      </c>
      <c r="Y60" s="8">
        <f t="shared" si="15"/>
        <v>179.07899999999998</v>
      </c>
      <c r="Z60" s="8">
        <f t="shared" si="16"/>
        <v>0</v>
      </c>
      <c r="AA60" s="8">
        <v>534.54999999999995</v>
      </c>
      <c r="AB60" s="8">
        <f t="shared" si="17"/>
        <v>160.36499999999998</v>
      </c>
      <c r="AC60" s="8">
        <f t="shared" si="18"/>
        <v>0</v>
      </c>
      <c r="AD60" s="8">
        <v>582.02</v>
      </c>
      <c r="AE60" s="8">
        <f t="shared" si="19"/>
        <v>174.60599999999999</v>
      </c>
      <c r="AF60" s="9">
        <f t="shared" si="20"/>
        <v>0</v>
      </c>
    </row>
    <row r="61" spans="1:32" ht="12.6" customHeight="1" x14ac:dyDescent="0.3">
      <c r="A61" s="6"/>
      <c r="B61" s="7" t="s">
        <v>128</v>
      </c>
      <c r="C61" s="7" t="s">
        <v>129</v>
      </c>
      <c r="D61" s="8">
        <v>1009.52</v>
      </c>
      <c r="E61" s="8">
        <f t="shared" si="0"/>
        <v>302.85599999999999</v>
      </c>
      <c r="F61" s="8">
        <f t="shared" si="1"/>
        <v>0</v>
      </c>
      <c r="G61" s="8">
        <v>471.51</v>
      </c>
      <c r="H61" s="8">
        <f t="shared" si="2"/>
        <v>141.453</v>
      </c>
      <c r="I61" s="8">
        <v>597.78</v>
      </c>
      <c r="J61" s="8">
        <f t="shared" si="3"/>
        <v>179.33399999999997</v>
      </c>
      <c r="K61" s="8">
        <f t="shared" si="4"/>
        <v>0</v>
      </c>
      <c r="L61" s="8">
        <v>548.76</v>
      </c>
      <c r="M61" s="8">
        <f t="shared" si="5"/>
        <v>142.67760000000001</v>
      </c>
      <c r="N61" s="8">
        <f t="shared" si="6"/>
        <v>0</v>
      </c>
      <c r="O61" s="8">
        <v>518.13</v>
      </c>
      <c r="P61" s="8">
        <f t="shared" si="7"/>
        <v>155.43899999999999</v>
      </c>
      <c r="Q61" s="8">
        <f t="shared" si="8"/>
        <v>0</v>
      </c>
      <c r="R61" s="8">
        <f t="shared" si="23"/>
        <v>548.76</v>
      </c>
      <c r="S61" s="8">
        <f t="shared" si="10"/>
        <v>164.62799999999999</v>
      </c>
      <c r="T61" s="8">
        <f t="shared" si="11"/>
        <v>0</v>
      </c>
      <c r="U61" s="8">
        <f t="shared" si="12"/>
        <v>548.76</v>
      </c>
      <c r="V61" s="8">
        <f t="shared" si="13"/>
        <v>164.62799999999999</v>
      </c>
      <c r="W61" s="8">
        <f t="shared" si="14"/>
        <v>0</v>
      </c>
      <c r="X61" s="8">
        <v>636.71</v>
      </c>
      <c r="Y61" s="8">
        <f t="shared" si="15"/>
        <v>191.01300000000001</v>
      </c>
      <c r="Z61" s="8">
        <f t="shared" si="16"/>
        <v>0</v>
      </c>
      <c r="AA61" s="8">
        <v>568.02</v>
      </c>
      <c r="AB61" s="8">
        <f t="shared" si="17"/>
        <v>170.40599999999998</v>
      </c>
      <c r="AC61" s="8">
        <f t="shared" si="18"/>
        <v>0</v>
      </c>
      <c r="AD61" s="8">
        <v>631</v>
      </c>
      <c r="AE61" s="8">
        <f t="shared" si="19"/>
        <v>189.29999999999998</v>
      </c>
      <c r="AF61" s="9">
        <f t="shared" si="20"/>
        <v>0</v>
      </c>
    </row>
    <row r="62" spans="1:32" ht="12.6" customHeight="1" x14ac:dyDescent="0.3">
      <c r="A62" s="6"/>
      <c r="B62" s="7" t="s">
        <v>130</v>
      </c>
      <c r="C62" s="7" t="s">
        <v>131</v>
      </c>
      <c r="D62" s="8">
        <v>1050.5999999999999</v>
      </c>
      <c r="E62" s="8">
        <f t="shared" si="0"/>
        <v>315.17999999999995</v>
      </c>
      <c r="F62" s="8">
        <f t="shared" si="1"/>
        <v>0</v>
      </c>
      <c r="G62" s="8">
        <v>520.61</v>
      </c>
      <c r="H62" s="8">
        <f t="shared" si="2"/>
        <v>156.18299999999999</v>
      </c>
      <c r="I62" s="8">
        <v>606.05999999999995</v>
      </c>
      <c r="J62" s="8">
        <f t="shared" si="3"/>
        <v>181.81799999999998</v>
      </c>
      <c r="K62" s="8">
        <f t="shared" si="4"/>
        <v>0</v>
      </c>
      <c r="L62" s="8">
        <v>540.97</v>
      </c>
      <c r="M62" s="8">
        <f t="shared" si="5"/>
        <v>140.65220000000002</v>
      </c>
      <c r="N62" s="8">
        <f t="shared" si="6"/>
        <v>0</v>
      </c>
      <c r="O62" s="8">
        <v>510.81</v>
      </c>
      <c r="P62" s="8">
        <f t="shared" si="7"/>
        <v>153.24299999999999</v>
      </c>
      <c r="Q62" s="8">
        <f t="shared" si="8"/>
        <v>0</v>
      </c>
      <c r="R62" s="8">
        <f t="shared" si="23"/>
        <v>540.97</v>
      </c>
      <c r="S62" s="8">
        <f t="shared" si="10"/>
        <v>162.291</v>
      </c>
      <c r="T62" s="8">
        <f t="shared" si="11"/>
        <v>0</v>
      </c>
      <c r="U62" s="8">
        <f t="shared" si="12"/>
        <v>540.97</v>
      </c>
      <c r="V62" s="8">
        <f t="shared" si="13"/>
        <v>162.291</v>
      </c>
      <c r="W62" s="8">
        <f t="shared" si="14"/>
        <v>0</v>
      </c>
      <c r="X62" s="8">
        <v>676.69</v>
      </c>
      <c r="Y62" s="8">
        <f t="shared" si="15"/>
        <v>203.00700000000001</v>
      </c>
      <c r="Z62" s="8">
        <f t="shared" si="16"/>
        <v>0</v>
      </c>
      <c r="AA62" s="8">
        <v>576.20000000000005</v>
      </c>
      <c r="AB62" s="8">
        <f t="shared" si="17"/>
        <v>172.86</v>
      </c>
      <c r="AC62" s="8">
        <f t="shared" si="18"/>
        <v>0</v>
      </c>
      <c r="AD62" s="8">
        <v>637.09</v>
      </c>
      <c r="AE62" s="8">
        <f t="shared" si="19"/>
        <v>191.12700000000001</v>
      </c>
      <c r="AF62" s="9">
        <f t="shared" si="20"/>
        <v>0</v>
      </c>
    </row>
    <row r="63" spans="1:32" ht="12.6" customHeight="1" x14ac:dyDescent="0.3">
      <c r="A63" s="6"/>
      <c r="B63" s="7" t="s">
        <v>132</v>
      </c>
      <c r="C63" s="7" t="s">
        <v>133</v>
      </c>
      <c r="D63" s="8">
        <v>1099.96</v>
      </c>
      <c r="E63" s="8">
        <f t="shared" si="0"/>
        <v>329.988</v>
      </c>
      <c r="F63" s="8">
        <f t="shared" si="1"/>
        <v>0</v>
      </c>
      <c r="G63" s="8">
        <v>576.34</v>
      </c>
      <c r="H63" s="8">
        <f t="shared" si="2"/>
        <v>172.90200000000002</v>
      </c>
      <c r="I63" s="8">
        <v>601.19000000000005</v>
      </c>
      <c r="J63" s="8">
        <f t="shared" si="3"/>
        <v>180.357</v>
      </c>
      <c r="K63" s="8">
        <f t="shared" si="4"/>
        <v>0</v>
      </c>
      <c r="L63" s="8">
        <v>535.45000000000005</v>
      </c>
      <c r="M63" s="8">
        <f t="shared" si="5"/>
        <v>139.21700000000001</v>
      </c>
      <c r="N63" s="8">
        <f t="shared" si="6"/>
        <v>0</v>
      </c>
      <c r="O63" s="8">
        <v>505.57</v>
      </c>
      <c r="P63" s="8">
        <f t="shared" si="7"/>
        <v>151.67099999999999</v>
      </c>
      <c r="Q63" s="8">
        <f t="shared" si="8"/>
        <v>0</v>
      </c>
      <c r="R63" s="8">
        <f t="shared" si="23"/>
        <v>535.45000000000005</v>
      </c>
      <c r="S63" s="8">
        <f t="shared" si="10"/>
        <v>160.63500000000002</v>
      </c>
      <c r="T63" s="8">
        <f t="shared" si="11"/>
        <v>0</v>
      </c>
      <c r="U63" s="8">
        <f t="shared" si="12"/>
        <v>535.45000000000005</v>
      </c>
      <c r="V63" s="8">
        <f t="shared" si="13"/>
        <v>160.63500000000002</v>
      </c>
      <c r="W63" s="8">
        <f t="shared" si="14"/>
        <v>0</v>
      </c>
      <c r="X63" s="8">
        <v>837.95</v>
      </c>
      <c r="Y63" s="8">
        <f t="shared" si="15"/>
        <v>251.38499999999999</v>
      </c>
      <c r="Z63" s="8">
        <f t="shared" si="16"/>
        <v>0</v>
      </c>
      <c r="AA63" s="8">
        <v>562.21</v>
      </c>
      <c r="AB63" s="8">
        <f t="shared" si="17"/>
        <v>168.66300000000001</v>
      </c>
      <c r="AC63" s="8">
        <f t="shared" si="18"/>
        <v>0</v>
      </c>
      <c r="AD63" s="8">
        <v>635.11</v>
      </c>
      <c r="AE63" s="8">
        <f t="shared" si="19"/>
        <v>190.53299999999999</v>
      </c>
      <c r="AF63" s="9">
        <f t="shared" si="20"/>
        <v>0</v>
      </c>
    </row>
    <row r="64" spans="1:32" ht="12.6" customHeight="1" x14ac:dyDescent="0.3">
      <c r="A64" s="6"/>
      <c r="B64" s="7" t="s">
        <v>134</v>
      </c>
      <c r="C64" s="7" t="s">
        <v>135</v>
      </c>
      <c r="D64" s="8">
        <v>1143.3</v>
      </c>
      <c r="E64" s="8">
        <f t="shared" si="0"/>
        <v>342.98999999999995</v>
      </c>
      <c r="F64" s="8">
        <f t="shared" si="1"/>
        <v>0</v>
      </c>
      <c r="G64" s="8">
        <v>598.63</v>
      </c>
      <c r="H64" s="8">
        <f t="shared" si="2"/>
        <v>179.589</v>
      </c>
      <c r="I64" s="8">
        <v>624.54</v>
      </c>
      <c r="J64" s="8">
        <f t="shared" si="3"/>
        <v>187.36199999999999</v>
      </c>
      <c r="K64" s="8">
        <f t="shared" si="4"/>
        <v>0</v>
      </c>
      <c r="L64" s="8">
        <v>556.84</v>
      </c>
      <c r="M64" s="8">
        <f t="shared" si="5"/>
        <v>144.7784</v>
      </c>
      <c r="N64" s="8">
        <f t="shared" si="6"/>
        <v>0</v>
      </c>
      <c r="O64" s="8">
        <v>525.76</v>
      </c>
      <c r="P64" s="8">
        <f t="shared" si="7"/>
        <v>157.72799999999998</v>
      </c>
      <c r="Q64" s="8">
        <f t="shared" si="8"/>
        <v>0</v>
      </c>
      <c r="R64" s="8">
        <f t="shared" si="23"/>
        <v>556.84</v>
      </c>
      <c r="S64" s="8">
        <f t="shared" si="10"/>
        <v>167.05199999999999</v>
      </c>
      <c r="T64" s="8">
        <f t="shared" si="11"/>
        <v>0</v>
      </c>
      <c r="U64" s="8">
        <f t="shared" si="12"/>
        <v>556.84</v>
      </c>
      <c r="V64" s="8">
        <f t="shared" si="13"/>
        <v>167.05199999999999</v>
      </c>
      <c r="W64" s="8">
        <f t="shared" si="14"/>
        <v>0</v>
      </c>
      <c r="X64" s="8">
        <v>894.72</v>
      </c>
      <c r="Y64" s="8">
        <f t="shared" si="15"/>
        <v>268.416</v>
      </c>
      <c r="Z64" s="8">
        <f t="shared" si="16"/>
        <v>0</v>
      </c>
      <c r="AA64" s="8">
        <v>584.67999999999995</v>
      </c>
      <c r="AB64" s="8">
        <f t="shared" si="17"/>
        <v>175.40399999999997</v>
      </c>
      <c r="AC64" s="8">
        <f t="shared" si="18"/>
        <v>0</v>
      </c>
      <c r="AD64" s="8">
        <v>659.25</v>
      </c>
      <c r="AE64" s="8">
        <f t="shared" si="19"/>
        <v>197.77500000000001</v>
      </c>
      <c r="AF64" s="9">
        <f t="shared" si="20"/>
        <v>0</v>
      </c>
    </row>
    <row r="65" spans="1:32" ht="12.6" customHeight="1" x14ac:dyDescent="0.3">
      <c r="A65" s="6"/>
      <c r="B65" s="7" t="s">
        <v>136</v>
      </c>
      <c r="C65" s="7" t="s">
        <v>137</v>
      </c>
      <c r="D65" s="8">
        <v>1200.06</v>
      </c>
      <c r="E65" s="8">
        <f t="shared" si="0"/>
        <v>360.01799999999997</v>
      </c>
      <c r="F65" s="8">
        <f t="shared" si="1"/>
        <v>0</v>
      </c>
      <c r="G65" s="8">
        <v>628.03</v>
      </c>
      <c r="H65" s="8">
        <f t="shared" si="2"/>
        <v>188.40899999999999</v>
      </c>
      <c r="I65" s="8">
        <v>655.83</v>
      </c>
      <c r="J65" s="8">
        <f t="shared" si="3"/>
        <v>196.749</v>
      </c>
      <c r="K65" s="8">
        <f t="shared" si="4"/>
        <v>0</v>
      </c>
      <c r="L65" s="8">
        <v>583.41999999999996</v>
      </c>
      <c r="M65" s="8">
        <f t="shared" si="5"/>
        <v>151.6892</v>
      </c>
      <c r="N65" s="8">
        <f t="shared" si="6"/>
        <v>0</v>
      </c>
      <c r="O65" s="8">
        <v>550.87</v>
      </c>
      <c r="P65" s="8">
        <f t="shared" si="7"/>
        <v>165.261</v>
      </c>
      <c r="Q65" s="8">
        <f t="shared" si="8"/>
        <v>0</v>
      </c>
      <c r="R65" s="8">
        <f t="shared" si="23"/>
        <v>583.41999999999996</v>
      </c>
      <c r="S65" s="8">
        <f t="shared" si="10"/>
        <v>175.02599999999998</v>
      </c>
      <c r="T65" s="8">
        <f t="shared" si="11"/>
        <v>0</v>
      </c>
      <c r="U65" s="8">
        <f t="shared" si="12"/>
        <v>583.41999999999996</v>
      </c>
      <c r="V65" s="8">
        <f t="shared" si="13"/>
        <v>175.02599999999998</v>
      </c>
      <c r="W65" s="8">
        <f t="shared" si="14"/>
        <v>0</v>
      </c>
      <c r="X65" s="8">
        <v>951.8</v>
      </c>
      <c r="Y65" s="8">
        <f t="shared" si="15"/>
        <v>285.53999999999996</v>
      </c>
      <c r="Z65" s="8">
        <f t="shared" si="16"/>
        <v>0</v>
      </c>
      <c r="AA65" s="8">
        <v>612.6</v>
      </c>
      <c r="AB65" s="8">
        <f t="shared" si="17"/>
        <v>183.78</v>
      </c>
      <c r="AC65" s="8">
        <f t="shared" si="18"/>
        <v>0</v>
      </c>
      <c r="AD65" s="8">
        <v>695.26</v>
      </c>
      <c r="AE65" s="8">
        <f t="shared" si="19"/>
        <v>208.578</v>
      </c>
      <c r="AF65" s="9">
        <f t="shared" si="20"/>
        <v>0</v>
      </c>
    </row>
    <row r="66" spans="1:32" ht="12.6" customHeight="1" x14ac:dyDescent="0.3">
      <c r="A66" s="6"/>
      <c r="B66" s="7" t="s">
        <v>138</v>
      </c>
      <c r="C66" s="7" t="s">
        <v>139</v>
      </c>
      <c r="D66" s="8">
        <v>1249.49</v>
      </c>
      <c r="E66" s="8">
        <f t="shared" si="0"/>
        <v>374.84699999999998</v>
      </c>
      <c r="F66" s="8">
        <f t="shared" si="1"/>
        <v>0</v>
      </c>
      <c r="G66" s="8">
        <v>605.09</v>
      </c>
      <c r="H66" s="8">
        <f t="shared" si="2"/>
        <v>181.52700000000002</v>
      </c>
      <c r="I66" s="8">
        <v>731.62</v>
      </c>
      <c r="J66" s="8">
        <f t="shared" si="3"/>
        <v>219.48599999999999</v>
      </c>
      <c r="K66" s="8">
        <f t="shared" si="4"/>
        <v>0</v>
      </c>
      <c r="L66" s="8">
        <v>657.24</v>
      </c>
      <c r="M66" s="8">
        <f t="shared" si="5"/>
        <v>170.88240000000002</v>
      </c>
      <c r="N66" s="8">
        <f t="shared" si="6"/>
        <v>0</v>
      </c>
      <c r="O66" s="8">
        <v>620.59</v>
      </c>
      <c r="P66" s="8">
        <f t="shared" si="7"/>
        <v>186.17699999999999</v>
      </c>
      <c r="Q66" s="8">
        <f t="shared" si="8"/>
        <v>0</v>
      </c>
      <c r="R66" s="8">
        <f t="shared" si="23"/>
        <v>657.24</v>
      </c>
      <c r="S66" s="8">
        <f t="shared" si="10"/>
        <v>197.172</v>
      </c>
      <c r="T66" s="8">
        <f t="shared" si="11"/>
        <v>0</v>
      </c>
      <c r="U66" s="8">
        <f t="shared" si="12"/>
        <v>657.24</v>
      </c>
      <c r="V66" s="8">
        <f t="shared" si="13"/>
        <v>197.172</v>
      </c>
      <c r="W66" s="8">
        <f t="shared" si="14"/>
        <v>0</v>
      </c>
      <c r="X66" s="8">
        <v>969.13</v>
      </c>
      <c r="Y66" s="8">
        <f t="shared" si="15"/>
        <v>290.73899999999998</v>
      </c>
      <c r="Z66" s="8">
        <f t="shared" si="16"/>
        <v>0</v>
      </c>
      <c r="AA66" s="8">
        <v>690.1</v>
      </c>
      <c r="AB66" s="8">
        <f t="shared" si="17"/>
        <v>207.03</v>
      </c>
      <c r="AC66" s="8">
        <f t="shared" si="18"/>
        <v>0</v>
      </c>
      <c r="AD66" s="8">
        <v>770.57</v>
      </c>
      <c r="AE66" s="8">
        <f t="shared" si="19"/>
        <v>231.17099999999999</v>
      </c>
      <c r="AF66" s="9">
        <f t="shared" si="20"/>
        <v>0</v>
      </c>
    </row>
    <row r="67" spans="1:32" ht="12.6" customHeight="1" x14ac:dyDescent="0.3">
      <c r="A67" s="6"/>
      <c r="B67" s="7" t="s">
        <v>140</v>
      </c>
      <c r="C67" s="7" t="s">
        <v>141</v>
      </c>
      <c r="D67" s="8">
        <v>1287.3499999999999</v>
      </c>
      <c r="E67" s="8">
        <f t="shared" si="0"/>
        <v>386.20499999999998</v>
      </c>
      <c r="F67" s="8">
        <f t="shared" si="1"/>
        <v>0</v>
      </c>
      <c r="G67" s="8">
        <v>622.58000000000004</v>
      </c>
      <c r="H67" s="8">
        <f t="shared" si="2"/>
        <v>186.774</v>
      </c>
      <c r="I67" s="8">
        <v>754.89</v>
      </c>
      <c r="J67" s="8">
        <f t="shared" si="3"/>
        <v>226.46699999999998</v>
      </c>
      <c r="K67" s="8">
        <f t="shared" si="4"/>
        <v>0</v>
      </c>
      <c r="L67" s="8">
        <v>678.27</v>
      </c>
      <c r="M67" s="8">
        <f t="shared" si="5"/>
        <v>176.3502</v>
      </c>
      <c r="N67" s="8">
        <f t="shared" si="6"/>
        <v>0</v>
      </c>
      <c r="O67" s="8">
        <v>640.41999999999996</v>
      </c>
      <c r="P67" s="8">
        <f t="shared" si="7"/>
        <v>192.12599999999998</v>
      </c>
      <c r="Q67" s="8">
        <f t="shared" si="8"/>
        <v>0</v>
      </c>
      <c r="R67" s="8">
        <f t="shared" si="23"/>
        <v>678.27</v>
      </c>
      <c r="S67" s="8">
        <f t="shared" si="10"/>
        <v>203.48099999999999</v>
      </c>
      <c r="T67" s="8">
        <f t="shared" si="11"/>
        <v>0</v>
      </c>
      <c r="U67" s="8">
        <f t="shared" si="12"/>
        <v>678.27</v>
      </c>
      <c r="V67" s="8">
        <f t="shared" si="13"/>
        <v>203.48099999999999</v>
      </c>
      <c r="W67" s="8">
        <f t="shared" si="14"/>
        <v>0</v>
      </c>
      <c r="X67" s="8">
        <v>1033.5899999999999</v>
      </c>
      <c r="Y67" s="8">
        <f t="shared" si="15"/>
        <v>310.07699999999994</v>
      </c>
      <c r="Z67" s="8">
        <f t="shared" si="16"/>
        <v>0</v>
      </c>
      <c r="AA67" s="8">
        <v>712.18</v>
      </c>
      <c r="AB67" s="8">
        <f t="shared" si="17"/>
        <v>213.65399999999997</v>
      </c>
      <c r="AC67" s="8">
        <f t="shared" si="18"/>
        <v>0</v>
      </c>
      <c r="AD67" s="8">
        <v>793.92</v>
      </c>
      <c r="AE67" s="8">
        <f t="shared" si="19"/>
        <v>238.17599999999999</v>
      </c>
      <c r="AF67" s="9">
        <f t="shared" si="20"/>
        <v>0</v>
      </c>
    </row>
    <row r="68" spans="1:32" ht="12.6" customHeight="1" x14ac:dyDescent="0.3">
      <c r="A68" s="6"/>
      <c r="B68" s="7" t="s">
        <v>142</v>
      </c>
      <c r="C68" s="7" t="s">
        <v>143</v>
      </c>
      <c r="D68" s="8">
        <v>1344.45</v>
      </c>
      <c r="E68" s="8">
        <f t="shared" si="0"/>
        <v>403.33499999999998</v>
      </c>
      <c r="F68" s="8">
        <f t="shared" si="1"/>
        <v>0</v>
      </c>
      <c r="G68" s="8">
        <v>659.43</v>
      </c>
      <c r="H68" s="8">
        <f t="shared" si="2"/>
        <v>197.82899999999998</v>
      </c>
      <c r="I68" s="8">
        <v>779.35</v>
      </c>
      <c r="J68" s="8">
        <f t="shared" si="3"/>
        <v>233.80500000000001</v>
      </c>
      <c r="K68" s="8">
        <f t="shared" si="4"/>
        <v>0</v>
      </c>
      <c r="L68" s="8">
        <v>699.03</v>
      </c>
      <c r="M68" s="8">
        <f t="shared" si="5"/>
        <v>181.74780000000001</v>
      </c>
      <c r="N68" s="8">
        <f t="shared" si="6"/>
        <v>0</v>
      </c>
      <c r="O68" s="8">
        <v>660.02</v>
      </c>
      <c r="P68" s="8">
        <f t="shared" si="7"/>
        <v>198.006</v>
      </c>
      <c r="Q68" s="8">
        <f t="shared" si="8"/>
        <v>0</v>
      </c>
      <c r="R68" s="8">
        <f t="shared" si="23"/>
        <v>699.03</v>
      </c>
      <c r="S68" s="8">
        <f t="shared" si="10"/>
        <v>209.70899999999997</v>
      </c>
      <c r="T68" s="8">
        <f t="shared" si="11"/>
        <v>0</v>
      </c>
      <c r="U68" s="8">
        <f t="shared" si="12"/>
        <v>699.03</v>
      </c>
      <c r="V68" s="8">
        <f t="shared" si="13"/>
        <v>209.70899999999997</v>
      </c>
      <c r="W68" s="8">
        <f t="shared" si="14"/>
        <v>0</v>
      </c>
      <c r="X68" s="8">
        <v>1098.42</v>
      </c>
      <c r="Y68" s="8">
        <f t="shared" si="15"/>
        <v>329.52600000000001</v>
      </c>
      <c r="Z68" s="8">
        <f t="shared" si="16"/>
        <v>0</v>
      </c>
      <c r="AA68" s="8">
        <v>733.98</v>
      </c>
      <c r="AB68" s="8">
        <f t="shared" si="17"/>
        <v>220.19399999999999</v>
      </c>
      <c r="AC68" s="8">
        <f t="shared" si="18"/>
        <v>0</v>
      </c>
      <c r="AD68" s="8">
        <v>819.18</v>
      </c>
      <c r="AE68" s="8">
        <f t="shared" si="19"/>
        <v>245.75399999999996</v>
      </c>
      <c r="AF68" s="9">
        <f t="shared" si="20"/>
        <v>0</v>
      </c>
    </row>
    <row r="69" spans="1:32" ht="12.6" customHeight="1" x14ac:dyDescent="0.3">
      <c r="A69" s="6"/>
      <c r="B69" s="7" t="s">
        <v>144</v>
      </c>
      <c r="C69" s="7" t="s">
        <v>145</v>
      </c>
      <c r="D69" s="8">
        <v>1374.38</v>
      </c>
      <c r="E69" s="8">
        <f t="shared" si="0"/>
        <v>412.31400000000002</v>
      </c>
      <c r="F69" s="8">
        <f t="shared" si="1"/>
        <v>0</v>
      </c>
      <c r="G69" s="8">
        <v>620.44000000000005</v>
      </c>
      <c r="H69" s="8">
        <f t="shared" si="2"/>
        <v>186.13200000000001</v>
      </c>
      <c r="I69" s="8">
        <v>850.14</v>
      </c>
      <c r="J69" s="8">
        <f t="shared" si="3"/>
        <v>255.04199999999997</v>
      </c>
      <c r="K69" s="8">
        <f t="shared" si="4"/>
        <v>0</v>
      </c>
      <c r="L69" s="8">
        <v>767.98</v>
      </c>
      <c r="M69" s="8">
        <f t="shared" si="5"/>
        <v>199.6748</v>
      </c>
      <c r="N69" s="8">
        <f t="shared" si="6"/>
        <v>0</v>
      </c>
      <c r="O69" s="8">
        <v>725.15</v>
      </c>
      <c r="P69" s="8">
        <f t="shared" si="7"/>
        <v>217.54499999999999</v>
      </c>
      <c r="Q69" s="8">
        <f t="shared" si="8"/>
        <v>0</v>
      </c>
      <c r="R69" s="8">
        <f t="shared" si="23"/>
        <v>767.98</v>
      </c>
      <c r="S69" s="8">
        <f t="shared" si="10"/>
        <v>230.39400000000001</v>
      </c>
      <c r="T69" s="8">
        <f t="shared" si="11"/>
        <v>0</v>
      </c>
      <c r="U69" s="8">
        <f t="shared" si="12"/>
        <v>767.98</v>
      </c>
      <c r="V69" s="8">
        <f t="shared" si="13"/>
        <v>230.39400000000001</v>
      </c>
      <c r="W69" s="8">
        <f t="shared" si="14"/>
        <v>0</v>
      </c>
      <c r="X69" s="8"/>
      <c r="Y69" s="8">
        <f t="shared" si="15"/>
        <v>0</v>
      </c>
      <c r="Z69" s="8">
        <f t="shared" si="16"/>
        <v>0</v>
      </c>
      <c r="AA69" s="8">
        <v>805.63</v>
      </c>
      <c r="AB69" s="8">
        <f t="shared" si="17"/>
        <v>241.68899999999999</v>
      </c>
      <c r="AC69" s="8">
        <f t="shared" si="18"/>
        <v>0</v>
      </c>
      <c r="AD69" s="8">
        <v>891.63</v>
      </c>
      <c r="AE69" s="8">
        <f t="shared" si="19"/>
        <v>267.48899999999998</v>
      </c>
      <c r="AF69" s="9">
        <f t="shared" si="20"/>
        <v>0</v>
      </c>
    </row>
    <row r="70" spans="1:32" ht="12.6" customHeight="1" x14ac:dyDescent="0.3">
      <c r="A70" s="6"/>
      <c r="B70" s="7" t="s">
        <v>146</v>
      </c>
      <c r="C70" s="7" t="s">
        <v>147</v>
      </c>
      <c r="D70" s="8">
        <v>1416.14</v>
      </c>
      <c r="E70" s="8">
        <f t="shared" si="0"/>
        <v>424.84200000000004</v>
      </c>
      <c r="F70" s="8">
        <f t="shared" si="1"/>
        <v>0</v>
      </c>
      <c r="G70" s="8">
        <v>653.71</v>
      </c>
      <c r="H70" s="8">
        <f t="shared" si="2"/>
        <v>196.113</v>
      </c>
      <c r="I70" s="8">
        <v>863.21</v>
      </c>
      <c r="J70" s="8">
        <f t="shared" si="3"/>
        <v>258.96300000000002</v>
      </c>
      <c r="K70" s="8">
        <f t="shared" si="4"/>
        <v>0</v>
      </c>
      <c r="L70" s="8">
        <v>776.74</v>
      </c>
      <c r="M70" s="8">
        <f t="shared" si="5"/>
        <v>201.95240000000001</v>
      </c>
      <c r="N70" s="8">
        <f t="shared" si="6"/>
        <v>0</v>
      </c>
      <c r="O70" s="8">
        <v>733.42</v>
      </c>
      <c r="P70" s="8">
        <f t="shared" si="7"/>
        <v>220.02599999999998</v>
      </c>
      <c r="Q70" s="8">
        <f t="shared" si="8"/>
        <v>0</v>
      </c>
      <c r="R70" s="8">
        <f t="shared" si="23"/>
        <v>776.74</v>
      </c>
      <c r="S70" s="8">
        <f t="shared" si="10"/>
        <v>233.02199999999999</v>
      </c>
      <c r="T70" s="8">
        <f t="shared" si="11"/>
        <v>0</v>
      </c>
      <c r="U70" s="8">
        <f t="shared" si="12"/>
        <v>776.74</v>
      </c>
      <c r="V70" s="8">
        <f t="shared" si="13"/>
        <v>233.02199999999999</v>
      </c>
      <c r="W70" s="8">
        <f t="shared" si="14"/>
        <v>0</v>
      </c>
      <c r="X70" s="8"/>
      <c r="Y70" s="8">
        <f t="shared" si="15"/>
        <v>0</v>
      </c>
      <c r="Z70" s="8">
        <f t="shared" si="16"/>
        <v>0</v>
      </c>
      <c r="AA70" s="8">
        <v>814.83</v>
      </c>
      <c r="AB70" s="8">
        <f t="shared" si="17"/>
        <v>244.44900000000001</v>
      </c>
      <c r="AC70" s="8">
        <f t="shared" si="18"/>
        <v>0</v>
      </c>
      <c r="AD70" s="8">
        <v>904.77</v>
      </c>
      <c r="AE70" s="8">
        <f t="shared" si="19"/>
        <v>271.43099999999998</v>
      </c>
      <c r="AF70" s="9">
        <f t="shared" si="20"/>
        <v>0</v>
      </c>
    </row>
    <row r="71" spans="1:32" ht="12.6" customHeight="1" x14ac:dyDescent="0.3">
      <c r="A71" s="6"/>
      <c r="B71" s="7" t="s">
        <v>148</v>
      </c>
      <c r="C71" s="7" t="s">
        <v>149</v>
      </c>
      <c r="D71" s="8">
        <v>1478.92</v>
      </c>
      <c r="E71" s="8">
        <f t="shared" si="0"/>
        <v>443.67599999999999</v>
      </c>
      <c r="F71" s="8">
        <f t="shared" si="1"/>
        <v>0</v>
      </c>
      <c r="G71" s="8">
        <v>685.82</v>
      </c>
      <c r="H71" s="8">
        <f t="shared" si="2"/>
        <v>205.74600000000001</v>
      </c>
      <c r="I71" s="8">
        <v>897.24</v>
      </c>
      <c r="J71" s="8">
        <f t="shared" si="3"/>
        <v>269.17199999999997</v>
      </c>
      <c r="K71" s="8">
        <f t="shared" si="4"/>
        <v>0</v>
      </c>
      <c r="L71" s="8">
        <v>808.23</v>
      </c>
      <c r="M71" s="8">
        <f t="shared" si="5"/>
        <v>210.13980000000001</v>
      </c>
      <c r="N71" s="8">
        <f t="shared" si="6"/>
        <v>0</v>
      </c>
      <c r="O71" s="8">
        <v>763.16</v>
      </c>
      <c r="P71" s="8">
        <f t="shared" si="7"/>
        <v>228.94799999999998</v>
      </c>
      <c r="Q71" s="8">
        <f t="shared" si="8"/>
        <v>0</v>
      </c>
      <c r="R71" s="8">
        <f t="shared" si="23"/>
        <v>808.23</v>
      </c>
      <c r="S71" s="8">
        <f t="shared" si="10"/>
        <v>242.46899999999999</v>
      </c>
      <c r="T71" s="8">
        <f t="shared" si="11"/>
        <v>0</v>
      </c>
      <c r="U71" s="8">
        <f t="shared" si="12"/>
        <v>808.23</v>
      </c>
      <c r="V71" s="8">
        <f t="shared" si="13"/>
        <v>242.46899999999999</v>
      </c>
      <c r="W71" s="8">
        <f t="shared" si="14"/>
        <v>0</v>
      </c>
      <c r="X71" s="8"/>
      <c r="Y71" s="8">
        <f t="shared" si="15"/>
        <v>0</v>
      </c>
      <c r="Z71" s="8">
        <f t="shared" si="16"/>
        <v>0</v>
      </c>
      <c r="AA71" s="8">
        <v>847.3</v>
      </c>
      <c r="AB71" s="8">
        <f t="shared" si="17"/>
        <v>254.18999999999997</v>
      </c>
      <c r="AC71" s="8">
        <f t="shared" si="18"/>
        <v>0</v>
      </c>
      <c r="AD71" s="8">
        <v>941.61</v>
      </c>
      <c r="AE71" s="8">
        <f t="shared" si="19"/>
        <v>282.483</v>
      </c>
      <c r="AF71" s="9">
        <f t="shared" si="20"/>
        <v>0</v>
      </c>
    </row>
    <row r="72" spans="1:32" ht="12.6" customHeight="1" x14ac:dyDescent="0.3">
      <c r="A72" s="6"/>
      <c r="B72" s="7" t="s">
        <v>150</v>
      </c>
      <c r="C72" s="7" t="s">
        <v>151</v>
      </c>
      <c r="D72" s="8">
        <v>541.39</v>
      </c>
      <c r="E72" s="8">
        <f t="shared" si="0"/>
        <v>162.417</v>
      </c>
      <c r="F72" s="8">
        <f t="shared" si="1"/>
        <v>0</v>
      </c>
      <c r="G72" s="8">
        <v>221.64</v>
      </c>
      <c r="H72" s="8">
        <f t="shared" si="2"/>
        <v>66.49199999999999</v>
      </c>
      <c r="I72" s="8">
        <v>244.6</v>
      </c>
      <c r="J72" s="8">
        <f t="shared" si="3"/>
        <v>73.38</v>
      </c>
      <c r="K72" s="8">
        <f t="shared" si="4"/>
        <v>0</v>
      </c>
      <c r="L72" s="8">
        <v>211.85</v>
      </c>
      <c r="M72" s="8">
        <f t="shared" si="5"/>
        <v>55.081000000000003</v>
      </c>
      <c r="N72" s="8">
        <f t="shared" si="6"/>
        <v>0</v>
      </c>
      <c r="O72" s="8">
        <v>209.16</v>
      </c>
      <c r="P72" s="8">
        <f t="shared" si="7"/>
        <v>62.747999999999998</v>
      </c>
      <c r="Q72" s="8">
        <f t="shared" si="8"/>
        <v>0</v>
      </c>
      <c r="R72" s="8">
        <f t="shared" si="23"/>
        <v>211.85</v>
      </c>
      <c r="S72" s="8">
        <f t="shared" si="10"/>
        <v>63.554999999999993</v>
      </c>
      <c r="T72" s="8">
        <f t="shared" si="11"/>
        <v>0</v>
      </c>
      <c r="U72" s="8">
        <f t="shared" si="12"/>
        <v>211.85</v>
      </c>
      <c r="V72" s="8">
        <f t="shared" si="13"/>
        <v>63.554999999999993</v>
      </c>
      <c r="W72" s="8">
        <f t="shared" si="14"/>
        <v>0</v>
      </c>
      <c r="X72" s="8">
        <v>440.52</v>
      </c>
      <c r="Y72" s="8">
        <f t="shared" si="15"/>
        <v>132.15599999999998</v>
      </c>
      <c r="Z72" s="8">
        <f t="shared" si="16"/>
        <v>0</v>
      </c>
      <c r="AA72" s="8">
        <v>229.87</v>
      </c>
      <c r="AB72" s="8">
        <f t="shared" si="17"/>
        <v>68.960999999999999</v>
      </c>
      <c r="AC72" s="8">
        <f t="shared" si="18"/>
        <v>0</v>
      </c>
      <c r="AD72" s="8">
        <v>261.62</v>
      </c>
      <c r="AE72" s="8">
        <f t="shared" si="19"/>
        <v>78.486000000000004</v>
      </c>
      <c r="AF72" s="9">
        <f t="shared" si="20"/>
        <v>0</v>
      </c>
    </row>
    <row r="73" spans="1:32" ht="12.6" customHeight="1" x14ac:dyDescent="0.3">
      <c r="A73" s="6"/>
      <c r="B73" s="7" t="s">
        <v>152</v>
      </c>
      <c r="C73" s="7" t="s">
        <v>153</v>
      </c>
      <c r="D73" s="8">
        <v>629.54</v>
      </c>
      <c r="E73" s="8">
        <f t="shared" si="0"/>
        <v>188.86199999999999</v>
      </c>
      <c r="F73" s="8">
        <f t="shared" si="1"/>
        <v>0</v>
      </c>
      <c r="G73" s="8">
        <v>261.83999999999997</v>
      </c>
      <c r="H73" s="8">
        <f t="shared" si="2"/>
        <v>78.551999999999992</v>
      </c>
      <c r="I73" s="8">
        <v>258.35000000000002</v>
      </c>
      <c r="J73" s="8">
        <f t="shared" si="3"/>
        <v>77.50500000000001</v>
      </c>
      <c r="K73" s="8">
        <f t="shared" si="4"/>
        <v>0</v>
      </c>
      <c r="L73" s="8">
        <v>220.37</v>
      </c>
      <c r="M73" s="8">
        <f t="shared" si="5"/>
        <v>57.296200000000006</v>
      </c>
      <c r="N73" s="8">
        <f t="shared" si="6"/>
        <v>0</v>
      </c>
      <c r="O73" s="8">
        <v>217.56</v>
      </c>
      <c r="P73" s="8">
        <f t="shared" si="7"/>
        <v>65.268000000000001</v>
      </c>
      <c r="Q73" s="8">
        <f t="shared" si="8"/>
        <v>0</v>
      </c>
      <c r="R73" s="8">
        <f t="shared" si="23"/>
        <v>220.37</v>
      </c>
      <c r="S73" s="8">
        <f t="shared" si="10"/>
        <v>66.111000000000004</v>
      </c>
      <c r="T73" s="8">
        <f t="shared" si="11"/>
        <v>0</v>
      </c>
      <c r="U73" s="8">
        <f t="shared" si="12"/>
        <v>220.37</v>
      </c>
      <c r="V73" s="8">
        <f t="shared" si="13"/>
        <v>66.111000000000004</v>
      </c>
      <c r="W73" s="8">
        <f t="shared" si="14"/>
        <v>0</v>
      </c>
      <c r="X73" s="8">
        <v>474.98</v>
      </c>
      <c r="Y73" s="8">
        <f t="shared" si="15"/>
        <v>142.494</v>
      </c>
      <c r="Z73" s="8">
        <f t="shared" si="16"/>
        <v>0</v>
      </c>
      <c r="AA73" s="8">
        <v>239.57</v>
      </c>
      <c r="AB73" s="8">
        <f t="shared" si="17"/>
        <v>71.870999999999995</v>
      </c>
      <c r="AC73" s="8">
        <f t="shared" si="18"/>
        <v>0</v>
      </c>
      <c r="AD73" s="8">
        <v>278</v>
      </c>
      <c r="AE73" s="8">
        <f t="shared" si="19"/>
        <v>83.399999999999991</v>
      </c>
      <c r="AF73" s="9">
        <f t="shared" si="20"/>
        <v>0</v>
      </c>
    </row>
    <row r="74" spans="1:32" ht="12.6" customHeight="1" x14ac:dyDescent="0.3">
      <c r="A74" s="6"/>
      <c r="B74" s="7" t="s">
        <v>154</v>
      </c>
      <c r="C74" s="7" t="s">
        <v>155</v>
      </c>
      <c r="D74" s="8">
        <v>654.16</v>
      </c>
      <c r="E74" s="8">
        <f t="shared" si="0"/>
        <v>196.24799999999999</v>
      </c>
      <c r="F74" s="8">
        <f t="shared" si="1"/>
        <v>0</v>
      </c>
      <c r="G74" s="8">
        <v>288.57</v>
      </c>
      <c r="H74" s="8">
        <f t="shared" si="2"/>
        <v>86.570999999999998</v>
      </c>
      <c r="I74" s="8">
        <v>278.64999999999998</v>
      </c>
      <c r="J74" s="8">
        <f t="shared" si="3"/>
        <v>83.594999999999985</v>
      </c>
      <c r="K74" s="8">
        <f t="shared" si="4"/>
        <v>0</v>
      </c>
      <c r="L74" s="8">
        <v>239.37</v>
      </c>
      <c r="M74" s="8">
        <f t="shared" si="5"/>
        <v>62.236200000000004</v>
      </c>
      <c r="N74" s="8">
        <f t="shared" si="6"/>
        <v>0</v>
      </c>
      <c r="O74" s="8">
        <v>236.3</v>
      </c>
      <c r="P74" s="8">
        <f t="shared" si="7"/>
        <v>70.89</v>
      </c>
      <c r="Q74" s="8">
        <f t="shared" si="8"/>
        <v>0</v>
      </c>
      <c r="R74" s="8">
        <f t="shared" si="23"/>
        <v>239.37</v>
      </c>
      <c r="S74" s="8">
        <f t="shared" si="10"/>
        <v>71.810999999999993</v>
      </c>
      <c r="T74" s="8">
        <f t="shared" si="11"/>
        <v>0</v>
      </c>
      <c r="U74" s="8">
        <f t="shared" si="12"/>
        <v>239.37</v>
      </c>
      <c r="V74" s="8">
        <f t="shared" si="13"/>
        <v>71.810999999999993</v>
      </c>
      <c r="W74" s="8">
        <f t="shared" si="14"/>
        <v>0</v>
      </c>
      <c r="X74" s="8">
        <v>509.44</v>
      </c>
      <c r="Y74" s="8">
        <f t="shared" si="15"/>
        <v>152.83199999999999</v>
      </c>
      <c r="Z74" s="8">
        <f t="shared" si="16"/>
        <v>0</v>
      </c>
      <c r="AA74" s="8">
        <v>259.86</v>
      </c>
      <c r="AB74" s="8">
        <f t="shared" si="17"/>
        <v>77.957999999999998</v>
      </c>
      <c r="AC74" s="8">
        <f t="shared" si="18"/>
        <v>0</v>
      </c>
      <c r="AD74" s="8">
        <v>298.95</v>
      </c>
      <c r="AE74" s="8">
        <f t="shared" si="19"/>
        <v>89.684999999999988</v>
      </c>
      <c r="AF74" s="9">
        <f t="shared" si="20"/>
        <v>0</v>
      </c>
    </row>
    <row r="75" spans="1:32" ht="12.6" customHeight="1" x14ac:dyDescent="0.3">
      <c r="A75" s="6"/>
      <c r="B75" s="7" t="s">
        <v>156</v>
      </c>
      <c r="C75" s="7" t="s">
        <v>157</v>
      </c>
      <c r="D75" s="8">
        <v>734.25</v>
      </c>
      <c r="E75" s="8">
        <f t="shared" si="0"/>
        <v>220.27500000000001</v>
      </c>
      <c r="F75" s="8">
        <f t="shared" si="1"/>
        <v>0</v>
      </c>
      <c r="G75" s="8">
        <v>323.98</v>
      </c>
      <c r="H75" s="8">
        <f t="shared" si="2"/>
        <v>97.194000000000003</v>
      </c>
      <c r="I75" s="8">
        <v>318.99</v>
      </c>
      <c r="J75" s="8">
        <f t="shared" si="3"/>
        <v>95.697000000000003</v>
      </c>
      <c r="K75" s="8">
        <f t="shared" si="4"/>
        <v>0</v>
      </c>
      <c r="L75" s="8">
        <v>281.93</v>
      </c>
      <c r="M75" s="8">
        <f t="shared" si="5"/>
        <v>73.3018</v>
      </c>
      <c r="N75" s="8">
        <f t="shared" si="6"/>
        <v>0</v>
      </c>
      <c r="O75" s="8"/>
      <c r="P75" s="8">
        <f t="shared" si="7"/>
        <v>0</v>
      </c>
      <c r="Q75" s="8">
        <f t="shared" si="8"/>
        <v>0</v>
      </c>
      <c r="R75" s="8">
        <f t="shared" si="23"/>
        <v>281.93</v>
      </c>
      <c r="S75" s="8">
        <f t="shared" si="10"/>
        <v>84.578999999999994</v>
      </c>
      <c r="T75" s="8">
        <f t="shared" si="11"/>
        <v>0</v>
      </c>
      <c r="U75" s="8">
        <f t="shared" si="12"/>
        <v>281.93</v>
      </c>
      <c r="V75" s="8">
        <f t="shared" si="13"/>
        <v>84.578999999999994</v>
      </c>
      <c r="W75" s="8">
        <f t="shared" si="14"/>
        <v>0</v>
      </c>
      <c r="X75" s="8"/>
      <c r="Y75" s="8">
        <f t="shared" si="15"/>
        <v>0</v>
      </c>
      <c r="Z75" s="8">
        <f t="shared" si="16"/>
        <v>0</v>
      </c>
      <c r="AA75" s="8"/>
      <c r="AB75" s="8">
        <f t="shared" si="17"/>
        <v>0</v>
      </c>
      <c r="AC75" s="8">
        <f t="shared" si="18"/>
        <v>0</v>
      </c>
      <c r="AD75" s="8"/>
      <c r="AE75" s="8">
        <f t="shared" si="19"/>
        <v>0</v>
      </c>
      <c r="AF75" s="9">
        <f t="shared" si="20"/>
        <v>0</v>
      </c>
    </row>
    <row r="76" spans="1:32" ht="12.6" customHeight="1" x14ac:dyDescent="0.3">
      <c r="A76" s="6"/>
      <c r="B76" s="7" t="s">
        <v>158</v>
      </c>
      <c r="C76" s="7" t="s">
        <v>159</v>
      </c>
      <c r="D76" s="8">
        <v>346.44</v>
      </c>
      <c r="E76" s="8">
        <f t="shared" si="0"/>
        <v>103.932</v>
      </c>
      <c r="F76" s="8">
        <f t="shared" si="1"/>
        <v>0</v>
      </c>
      <c r="G76" s="8">
        <v>186.47</v>
      </c>
      <c r="H76" s="8">
        <f t="shared" si="2"/>
        <v>55.940999999999995</v>
      </c>
      <c r="I76" s="8">
        <v>191.49</v>
      </c>
      <c r="J76" s="8">
        <f t="shared" si="3"/>
        <v>57.447000000000003</v>
      </c>
      <c r="K76" s="8">
        <f t="shared" si="4"/>
        <v>0</v>
      </c>
      <c r="L76" s="8">
        <v>164.05</v>
      </c>
      <c r="M76" s="8">
        <f t="shared" si="5"/>
        <v>42.653000000000006</v>
      </c>
      <c r="N76" s="8">
        <f t="shared" si="6"/>
        <v>0</v>
      </c>
      <c r="O76" s="8">
        <v>170.35</v>
      </c>
      <c r="P76" s="8">
        <f t="shared" si="7"/>
        <v>51.104999999999997</v>
      </c>
      <c r="Q76" s="8">
        <f t="shared" si="8"/>
        <v>0</v>
      </c>
      <c r="R76" s="8">
        <f t="shared" si="23"/>
        <v>164.05</v>
      </c>
      <c r="S76" s="8">
        <f t="shared" si="10"/>
        <v>49.215000000000003</v>
      </c>
      <c r="T76" s="8">
        <f t="shared" si="11"/>
        <v>0</v>
      </c>
      <c r="U76" s="8">
        <f t="shared" si="12"/>
        <v>164.05</v>
      </c>
      <c r="V76" s="8">
        <f t="shared" si="13"/>
        <v>49.215000000000003</v>
      </c>
      <c r="W76" s="8">
        <f t="shared" si="14"/>
        <v>0</v>
      </c>
      <c r="X76" s="8">
        <v>371.62</v>
      </c>
      <c r="Y76" s="8">
        <f t="shared" si="15"/>
        <v>111.486</v>
      </c>
      <c r="Z76" s="8">
        <f t="shared" si="16"/>
        <v>0</v>
      </c>
      <c r="AA76" s="8">
        <v>182.56</v>
      </c>
      <c r="AB76" s="8">
        <f t="shared" si="17"/>
        <v>54.768000000000001</v>
      </c>
      <c r="AC76" s="8">
        <f t="shared" si="18"/>
        <v>0</v>
      </c>
      <c r="AD76" s="8">
        <v>213.04</v>
      </c>
      <c r="AE76" s="8">
        <f t="shared" si="19"/>
        <v>63.911999999999992</v>
      </c>
      <c r="AF76" s="9">
        <f t="shared" si="20"/>
        <v>0</v>
      </c>
    </row>
    <row r="77" spans="1:32" ht="12.6" customHeight="1" x14ac:dyDescent="0.3">
      <c r="A77" s="6"/>
      <c r="B77" s="7" t="s">
        <v>160</v>
      </c>
      <c r="C77" s="7" t="s">
        <v>161</v>
      </c>
      <c r="D77" s="8">
        <v>388.59</v>
      </c>
      <c r="E77" s="8">
        <f t="shared" si="0"/>
        <v>116.57699999999998</v>
      </c>
      <c r="F77" s="8">
        <f t="shared" si="1"/>
        <v>0</v>
      </c>
      <c r="G77" s="8">
        <v>199.74</v>
      </c>
      <c r="H77" s="8">
        <f t="shared" si="2"/>
        <v>59.921999999999997</v>
      </c>
      <c r="I77" s="8">
        <v>211.93</v>
      </c>
      <c r="J77" s="8">
        <f t="shared" si="3"/>
        <v>63.579000000000001</v>
      </c>
      <c r="K77" s="8">
        <f t="shared" si="4"/>
        <v>0</v>
      </c>
      <c r="L77" s="8">
        <v>193.19</v>
      </c>
      <c r="M77" s="8">
        <f t="shared" si="5"/>
        <v>50.229399999999998</v>
      </c>
      <c r="N77" s="8">
        <f t="shared" si="6"/>
        <v>0</v>
      </c>
      <c r="O77" s="8">
        <v>183.91</v>
      </c>
      <c r="P77" s="8">
        <f t="shared" si="7"/>
        <v>55.172999999999995</v>
      </c>
      <c r="Q77" s="8">
        <f t="shared" si="8"/>
        <v>0</v>
      </c>
      <c r="R77" s="8">
        <f t="shared" si="23"/>
        <v>193.19</v>
      </c>
      <c r="S77" s="8">
        <f t="shared" si="10"/>
        <v>57.956999999999994</v>
      </c>
      <c r="T77" s="8">
        <f t="shared" si="11"/>
        <v>0</v>
      </c>
      <c r="U77" s="8">
        <f t="shared" si="12"/>
        <v>193.19</v>
      </c>
      <c r="V77" s="8">
        <f t="shared" si="13"/>
        <v>57.956999999999994</v>
      </c>
      <c r="W77" s="8">
        <f t="shared" si="14"/>
        <v>0</v>
      </c>
      <c r="X77" s="8">
        <v>406.06</v>
      </c>
      <c r="Y77" s="8">
        <f t="shared" si="15"/>
        <v>121.818</v>
      </c>
      <c r="Z77" s="8">
        <f t="shared" si="16"/>
        <v>0</v>
      </c>
      <c r="AA77" s="8">
        <v>202.85</v>
      </c>
      <c r="AB77" s="8">
        <f t="shared" si="17"/>
        <v>60.854999999999997</v>
      </c>
      <c r="AC77" s="8">
        <f t="shared" si="18"/>
        <v>0</v>
      </c>
      <c r="AD77" s="8">
        <v>228.88</v>
      </c>
      <c r="AE77" s="8">
        <f t="shared" si="19"/>
        <v>68.664000000000001</v>
      </c>
      <c r="AF77" s="9">
        <f t="shared" si="20"/>
        <v>0</v>
      </c>
    </row>
    <row r="78" spans="1:32" ht="12.6" customHeight="1" x14ac:dyDescent="0.3">
      <c r="A78" s="6"/>
      <c r="B78" s="7" t="s">
        <v>162</v>
      </c>
      <c r="C78" s="7" t="s">
        <v>163</v>
      </c>
      <c r="D78" s="8">
        <v>417.69</v>
      </c>
      <c r="E78" s="8">
        <f t="shared" si="0"/>
        <v>125.30699999999999</v>
      </c>
      <c r="F78" s="8">
        <f t="shared" si="1"/>
        <v>0</v>
      </c>
      <c r="G78" s="8">
        <v>205.11</v>
      </c>
      <c r="H78" s="8">
        <f t="shared" si="2"/>
        <v>61.533000000000001</v>
      </c>
      <c r="I78" s="8">
        <v>237.53</v>
      </c>
      <c r="J78" s="8">
        <f t="shared" si="3"/>
        <v>71.259</v>
      </c>
      <c r="K78" s="8">
        <f t="shared" si="4"/>
        <v>0</v>
      </c>
      <c r="L78" s="8">
        <v>216.96</v>
      </c>
      <c r="M78" s="8">
        <f t="shared" si="5"/>
        <v>56.409600000000005</v>
      </c>
      <c r="N78" s="8">
        <f t="shared" si="6"/>
        <v>0</v>
      </c>
      <c r="O78" s="8">
        <v>209.16</v>
      </c>
      <c r="P78" s="8">
        <f t="shared" si="7"/>
        <v>62.747999999999998</v>
      </c>
      <c r="Q78" s="8">
        <f t="shared" si="8"/>
        <v>0</v>
      </c>
      <c r="R78" s="8">
        <f t="shared" si="23"/>
        <v>216.96</v>
      </c>
      <c r="S78" s="8">
        <f t="shared" si="10"/>
        <v>65.087999999999994</v>
      </c>
      <c r="T78" s="8">
        <f t="shared" si="11"/>
        <v>0</v>
      </c>
      <c r="U78" s="8">
        <f t="shared" si="12"/>
        <v>216.96</v>
      </c>
      <c r="V78" s="8">
        <f t="shared" si="13"/>
        <v>65.087999999999994</v>
      </c>
      <c r="W78" s="8">
        <f t="shared" si="14"/>
        <v>0</v>
      </c>
      <c r="X78" s="8">
        <v>440.52</v>
      </c>
      <c r="Y78" s="8">
        <f t="shared" si="15"/>
        <v>132.15599999999998</v>
      </c>
      <c r="Z78" s="8">
        <f t="shared" si="16"/>
        <v>0</v>
      </c>
      <c r="AA78" s="8">
        <v>229.87</v>
      </c>
      <c r="AB78" s="8">
        <f t="shared" si="17"/>
        <v>68.960999999999999</v>
      </c>
      <c r="AC78" s="8">
        <f t="shared" si="18"/>
        <v>0</v>
      </c>
      <c r="AD78" s="8">
        <v>266.47000000000003</v>
      </c>
      <c r="AE78" s="8">
        <f t="shared" si="19"/>
        <v>79.941000000000003</v>
      </c>
      <c r="AF78" s="9">
        <f t="shared" si="20"/>
        <v>0</v>
      </c>
    </row>
    <row r="79" spans="1:32" ht="12.6" customHeight="1" x14ac:dyDescent="0.3">
      <c r="A79" s="6"/>
      <c r="B79" s="7" t="s">
        <v>164</v>
      </c>
      <c r="C79" s="7" t="s">
        <v>165</v>
      </c>
      <c r="D79" s="8">
        <v>433.33</v>
      </c>
      <c r="E79" s="8">
        <f t="shared" si="0"/>
        <v>129.999</v>
      </c>
      <c r="F79" s="8">
        <f t="shared" si="1"/>
        <v>0</v>
      </c>
      <c r="G79" s="8">
        <v>211.79</v>
      </c>
      <c r="H79" s="8">
        <f t="shared" si="2"/>
        <v>63.536999999999992</v>
      </c>
      <c r="I79" s="8">
        <v>255.55</v>
      </c>
      <c r="J79" s="8">
        <f t="shared" si="3"/>
        <v>76.665000000000006</v>
      </c>
      <c r="K79" s="8">
        <f t="shared" si="4"/>
        <v>0</v>
      </c>
      <c r="L79" s="8">
        <v>226.86</v>
      </c>
      <c r="M79" s="8">
        <f t="shared" si="5"/>
        <v>58.983600000000003</v>
      </c>
      <c r="N79" s="8">
        <f t="shared" si="6"/>
        <v>0</v>
      </c>
      <c r="O79" s="8">
        <v>217.56</v>
      </c>
      <c r="P79" s="8">
        <f t="shared" si="7"/>
        <v>65.268000000000001</v>
      </c>
      <c r="Q79" s="8">
        <f t="shared" si="8"/>
        <v>0</v>
      </c>
      <c r="R79" s="8">
        <f t="shared" si="23"/>
        <v>226.86</v>
      </c>
      <c r="S79" s="8">
        <f t="shared" si="10"/>
        <v>68.058000000000007</v>
      </c>
      <c r="T79" s="8">
        <f t="shared" si="11"/>
        <v>0</v>
      </c>
      <c r="U79" s="8">
        <f t="shared" si="12"/>
        <v>226.86</v>
      </c>
      <c r="V79" s="8">
        <f t="shared" si="13"/>
        <v>68.058000000000007</v>
      </c>
      <c r="W79" s="8">
        <f t="shared" si="14"/>
        <v>0</v>
      </c>
      <c r="X79" s="8">
        <v>474.98</v>
      </c>
      <c r="Y79" s="8">
        <f t="shared" si="15"/>
        <v>142.494</v>
      </c>
      <c r="Z79" s="8">
        <f t="shared" si="16"/>
        <v>0</v>
      </c>
      <c r="AA79" s="8">
        <v>239.57</v>
      </c>
      <c r="AB79" s="8">
        <f t="shared" si="17"/>
        <v>71.870999999999995</v>
      </c>
      <c r="AC79" s="8">
        <f t="shared" si="18"/>
        <v>0</v>
      </c>
      <c r="AD79" s="8">
        <v>283.23</v>
      </c>
      <c r="AE79" s="8">
        <f t="shared" si="19"/>
        <v>84.969000000000008</v>
      </c>
      <c r="AF79" s="9">
        <f t="shared" si="20"/>
        <v>0</v>
      </c>
    </row>
    <row r="80" spans="1:32" ht="12.6" customHeight="1" x14ac:dyDescent="0.3">
      <c r="A80" s="6"/>
      <c r="B80" s="7" t="s">
        <v>166</v>
      </c>
      <c r="C80" s="7" t="s">
        <v>167</v>
      </c>
      <c r="D80" s="8">
        <v>476.76</v>
      </c>
      <c r="E80" s="8">
        <f t="shared" si="0"/>
        <v>143.02799999999999</v>
      </c>
      <c r="F80" s="8">
        <f t="shared" si="1"/>
        <v>0</v>
      </c>
      <c r="G80" s="8">
        <v>236.47</v>
      </c>
      <c r="H80" s="8">
        <f t="shared" si="2"/>
        <v>70.941000000000003</v>
      </c>
      <c r="I80" s="8">
        <v>274.70999999999998</v>
      </c>
      <c r="J80" s="8">
        <f t="shared" si="3"/>
        <v>82.412999999999997</v>
      </c>
      <c r="K80" s="8">
        <f t="shared" si="4"/>
        <v>0</v>
      </c>
      <c r="L80" s="8">
        <v>246.18</v>
      </c>
      <c r="M80" s="8">
        <f t="shared" si="5"/>
        <v>64.006799999999998</v>
      </c>
      <c r="N80" s="8">
        <f t="shared" si="6"/>
        <v>0</v>
      </c>
      <c r="O80" s="8">
        <v>236.3</v>
      </c>
      <c r="P80" s="8">
        <f t="shared" si="7"/>
        <v>70.89</v>
      </c>
      <c r="Q80" s="8">
        <f t="shared" si="8"/>
        <v>0</v>
      </c>
      <c r="R80" s="8">
        <f t="shared" si="23"/>
        <v>246.18</v>
      </c>
      <c r="S80" s="8">
        <f t="shared" si="10"/>
        <v>73.853999999999999</v>
      </c>
      <c r="T80" s="8">
        <f t="shared" si="11"/>
        <v>0</v>
      </c>
      <c r="U80" s="8">
        <f t="shared" si="12"/>
        <v>246.18</v>
      </c>
      <c r="V80" s="8">
        <f t="shared" si="13"/>
        <v>73.853999999999999</v>
      </c>
      <c r="W80" s="8">
        <f t="shared" si="14"/>
        <v>0</v>
      </c>
      <c r="X80" s="8">
        <v>509.44</v>
      </c>
      <c r="Y80" s="8">
        <f t="shared" si="15"/>
        <v>152.83199999999999</v>
      </c>
      <c r="Z80" s="8">
        <f t="shared" si="16"/>
        <v>0</v>
      </c>
      <c r="AA80" s="8">
        <v>259.86</v>
      </c>
      <c r="AB80" s="8">
        <f t="shared" si="17"/>
        <v>77.957999999999998</v>
      </c>
      <c r="AC80" s="8">
        <f t="shared" si="18"/>
        <v>0</v>
      </c>
      <c r="AD80" s="8">
        <v>305.37</v>
      </c>
      <c r="AE80" s="8">
        <f t="shared" si="19"/>
        <v>91.611000000000004</v>
      </c>
      <c r="AF80" s="9">
        <f t="shared" si="20"/>
        <v>0</v>
      </c>
    </row>
    <row r="81" spans="1:32" ht="12.6" customHeight="1" x14ac:dyDescent="0.3">
      <c r="A81" s="6"/>
      <c r="B81" s="7" t="s">
        <v>168</v>
      </c>
      <c r="C81" s="7" t="s">
        <v>169</v>
      </c>
      <c r="D81" s="8">
        <v>541.39</v>
      </c>
      <c r="E81" s="8">
        <f t="shared" si="0"/>
        <v>162.417</v>
      </c>
      <c r="F81" s="8">
        <f t="shared" si="1"/>
        <v>0</v>
      </c>
      <c r="G81" s="8">
        <v>258.49</v>
      </c>
      <c r="H81" s="8">
        <f t="shared" si="2"/>
        <v>77.546999999999997</v>
      </c>
      <c r="I81" s="8">
        <v>309.44</v>
      </c>
      <c r="J81" s="8">
        <f t="shared" si="3"/>
        <v>92.831999999999994</v>
      </c>
      <c r="K81" s="8">
        <f t="shared" si="4"/>
        <v>0</v>
      </c>
      <c r="L81" s="8">
        <v>289.45999999999998</v>
      </c>
      <c r="M81" s="8">
        <f t="shared" si="5"/>
        <v>75.259599999999992</v>
      </c>
      <c r="N81" s="8">
        <f t="shared" si="6"/>
        <v>0</v>
      </c>
      <c r="O81" s="8"/>
      <c r="P81" s="8">
        <f t="shared" si="7"/>
        <v>0</v>
      </c>
      <c r="Q81" s="8">
        <f t="shared" si="8"/>
        <v>0</v>
      </c>
      <c r="R81" s="8">
        <f t="shared" si="23"/>
        <v>289.45999999999998</v>
      </c>
      <c r="S81" s="8">
        <f t="shared" si="10"/>
        <v>86.837999999999994</v>
      </c>
      <c r="T81" s="8">
        <f t="shared" si="11"/>
        <v>0</v>
      </c>
      <c r="U81" s="8">
        <f t="shared" si="12"/>
        <v>289.45999999999998</v>
      </c>
      <c r="V81" s="8">
        <f t="shared" si="13"/>
        <v>86.837999999999994</v>
      </c>
      <c r="W81" s="8">
        <f t="shared" si="14"/>
        <v>0</v>
      </c>
      <c r="X81" s="8"/>
      <c r="Y81" s="8">
        <f t="shared" si="15"/>
        <v>0</v>
      </c>
      <c r="Z81" s="8">
        <f t="shared" si="16"/>
        <v>0</v>
      </c>
      <c r="AA81" s="8">
        <v>305.99</v>
      </c>
      <c r="AB81" s="8">
        <f t="shared" si="17"/>
        <v>91.796999999999997</v>
      </c>
      <c r="AC81" s="8">
        <f t="shared" si="18"/>
        <v>0</v>
      </c>
      <c r="AD81" s="8">
        <v>337.27</v>
      </c>
      <c r="AE81" s="8">
        <f t="shared" si="19"/>
        <v>101.181</v>
      </c>
      <c r="AF81" s="9">
        <f t="shared" si="20"/>
        <v>0</v>
      </c>
    </row>
    <row r="82" spans="1:32" ht="12.6" customHeight="1" x14ac:dyDescent="0.3">
      <c r="A82" s="6"/>
      <c r="B82" s="7" t="s">
        <v>170</v>
      </c>
      <c r="C82" s="7" t="s">
        <v>171</v>
      </c>
      <c r="D82" s="8">
        <v>223.05</v>
      </c>
      <c r="E82" s="8">
        <f t="shared" si="0"/>
        <v>66.915000000000006</v>
      </c>
      <c r="F82" s="8">
        <f t="shared" si="1"/>
        <v>0</v>
      </c>
      <c r="G82" s="8"/>
      <c r="H82" s="8">
        <f t="shared" si="2"/>
        <v>0</v>
      </c>
      <c r="I82" s="8">
        <v>236.41</v>
      </c>
      <c r="J82" s="8">
        <f t="shared" si="3"/>
        <v>70.923000000000002</v>
      </c>
      <c r="K82" s="8">
        <f t="shared" si="4"/>
        <v>0</v>
      </c>
      <c r="L82" s="8">
        <v>223.05</v>
      </c>
      <c r="M82" s="8">
        <f t="shared" si="5"/>
        <v>57.993000000000002</v>
      </c>
      <c r="N82" s="8">
        <f t="shared" si="6"/>
        <v>0</v>
      </c>
      <c r="O82" s="8">
        <v>209.7</v>
      </c>
      <c r="P82" s="8">
        <f t="shared" si="7"/>
        <v>62.91</v>
      </c>
      <c r="Q82" s="8">
        <f t="shared" si="8"/>
        <v>0</v>
      </c>
      <c r="R82" s="8">
        <f t="shared" si="23"/>
        <v>223.05</v>
      </c>
      <c r="S82" s="8">
        <f t="shared" si="10"/>
        <v>66.915000000000006</v>
      </c>
      <c r="T82" s="8">
        <f t="shared" si="11"/>
        <v>0</v>
      </c>
      <c r="U82" s="8">
        <f t="shared" si="12"/>
        <v>223.05</v>
      </c>
      <c r="V82" s="8">
        <f t="shared" si="13"/>
        <v>66.915000000000006</v>
      </c>
      <c r="W82" s="8">
        <f t="shared" si="14"/>
        <v>0</v>
      </c>
      <c r="X82" s="8">
        <v>255.33</v>
      </c>
      <c r="Y82" s="8">
        <f t="shared" si="15"/>
        <v>76.599000000000004</v>
      </c>
      <c r="Z82" s="8">
        <f t="shared" si="16"/>
        <v>0</v>
      </c>
      <c r="AA82" s="8">
        <v>236.41</v>
      </c>
      <c r="AB82" s="8">
        <f t="shared" si="17"/>
        <v>70.923000000000002</v>
      </c>
      <c r="AC82" s="8">
        <f t="shared" si="18"/>
        <v>0</v>
      </c>
      <c r="AD82" s="8">
        <v>243.09</v>
      </c>
      <c r="AE82" s="8">
        <f t="shared" si="19"/>
        <v>72.926999999999992</v>
      </c>
      <c r="AF82" s="9">
        <f t="shared" si="20"/>
        <v>0</v>
      </c>
    </row>
    <row r="83" spans="1:32" ht="12.6" customHeight="1" x14ac:dyDescent="0.3">
      <c r="A83" s="6"/>
      <c r="B83" s="7" t="s">
        <v>172</v>
      </c>
      <c r="C83" s="7" t="s">
        <v>173</v>
      </c>
      <c r="D83" s="8">
        <v>245.38</v>
      </c>
      <c r="E83" s="8">
        <f t="shared" si="0"/>
        <v>73.61399999999999</v>
      </c>
      <c r="F83" s="8">
        <f t="shared" si="1"/>
        <v>0</v>
      </c>
      <c r="G83" s="8"/>
      <c r="H83" s="8">
        <f t="shared" si="2"/>
        <v>0</v>
      </c>
      <c r="I83" s="8">
        <v>260.12</v>
      </c>
      <c r="J83" s="8">
        <f t="shared" si="3"/>
        <v>78.036000000000001</v>
      </c>
      <c r="K83" s="8">
        <f t="shared" si="4"/>
        <v>0</v>
      </c>
      <c r="L83" s="8">
        <v>245.38</v>
      </c>
      <c r="M83" s="8">
        <f t="shared" si="5"/>
        <v>63.7988</v>
      </c>
      <c r="N83" s="8">
        <f t="shared" si="6"/>
        <v>0</v>
      </c>
      <c r="O83" s="8">
        <v>230.72</v>
      </c>
      <c r="P83" s="8">
        <f t="shared" si="7"/>
        <v>69.215999999999994</v>
      </c>
      <c r="Q83" s="8">
        <f t="shared" si="8"/>
        <v>0</v>
      </c>
      <c r="R83" s="8">
        <f t="shared" si="23"/>
        <v>245.38</v>
      </c>
      <c r="S83" s="8">
        <f t="shared" si="10"/>
        <v>73.61399999999999</v>
      </c>
      <c r="T83" s="8">
        <f t="shared" si="11"/>
        <v>0</v>
      </c>
      <c r="U83" s="8">
        <f t="shared" si="12"/>
        <v>245.38</v>
      </c>
      <c r="V83" s="8">
        <f t="shared" si="13"/>
        <v>73.61399999999999</v>
      </c>
      <c r="W83" s="8">
        <f t="shared" si="14"/>
        <v>0</v>
      </c>
      <c r="X83" s="8">
        <v>298.17</v>
      </c>
      <c r="Y83" s="8">
        <f t="shared" si="15"/>
        <v>89.451000000000008</v>
      </c>
      <c r="Z83" s="8">
        <f t="shared" si="16"/>
        <v>0</v>
      </c>
      <c r="AA83" s="8">
        <v>260.12</v>
      </c>
      <c r="AB83" s="8">
        <f t="shared" si="17"/>
        <v>78.036000000000001</v>
      </c>
      <c r="AC83" s="8">
        <f t="shared" si="18"/>
        <v>0</v>
      </c>
      <c r="AD83" s="8">
        <v>267.45</v>
      </c>
      <c r="AE83" s="8">
        <f t="shared" si="19"/>
        <v>80.234999999999999</v>
      </c>
      <c r="AF83" s="9">
        <f t="shared" si="20"/>
        <v>0</v>
      </c>
    </row>
    <row r="84" spans="1:32" ht="12.6" customHeight="1" x14ac:dyDescent="0.3">
      <c r="A84" s="6"/>
      <c r="B84" s="7" t="s">
        <v>174</v>
      </c>
      <c r="C84" s="7" t="s">
        <v>175</v>
      </c>
      <c r="D84" s="8">
        <v>633.92999999999995</v>
      </c>
      <c r="E84" s="8">
        <f t="shared" si="0"/>
        <v>190.17899999999997</v>
      </c>
      <c r="F84" s="8">
        <f t="shared" si="1"/>
        <v>0</v>
      </c>
      <c r="G84" s="8">
        <v>355.61</v>
      </c>
      <c r="H84" s="8">
        <f t="shared" si="2"/>
        <v>106.68300000000001</v>
      </c>
      <c r="I84" s="8">
        <v>323.06</v>
      </c>
      <c r="J84" s="8">
        <f t="shared" si="3"/>
        <v>96.917999999999992</v>
      </c>
      <c r="K84" s="8">
        <f t="shared" si="4"/>
        <v>0</v>
      </c>
      <c r="L84" s="8">
        <v>285.39999999999998</v>
      </c>
      <c r="M84" s="8">
        <f t="shared" si="5"/>
        <v>74.203999999999994</v>
      </c>
      <c r="N84" s="8">
        <f t="shared" si="6"/>
        <v>0</v>
      </c>
      <c r="O84" s="8">
        <v>281.74</v>
      </c>
      <c r="P84" s="8">
        <f t="shared" si="7"/>
        <v>84.522000000000006</v>
      </c>
      <c r="Q84" s="8">
        <f t="shared" si="8"/>
        <v>0</v>
      </c>
      <c r="R84" s="8">
        <f t="shared" si="23"/>
        <v>285.39999999999998</v>
      </c>
      <c r="S84" s="8">
        <f t="shared" si="10"/>
        <v>85.61999999999999</v>
      </c>
      <c r="T84" s="8">
        <f t="shared" si="11"/>
        <v>0</v>
      </c>
      <c r="U84" s="8">
        <f t="shared" si="12"/>
        <v>285.39999999999998</v>
      </c>
      <c r="V84" s="8">
        <f t="shared" si="13"/>
        <v>85.61999999999999</v>
      </c>
      <c r="W84" s="8">
        <f t="shared" si="14"/>
        <v>0</v>
      </c>
      <c r="X84" s="8"/>
      <c r="Y84" s="8">
        <f t="shared" si="15"/>
        <v>0</v>
      </c>
      <c r="Z84" s="8">
        <f t="shared" si="16"/>
        <v>0</v>
      </c>
      <c r="AA84" s="8">
        <v>301.01</v>
      </c>
      <c r="AB84" s="8">
        <f t="shared" si="17"/>
        <v>90.302999999999997</v>
      </c>
      <c r="AC84" s="8">
        <f t="shared" si="18"/>
        <v>0</v>
      </c>
      <c r="AD84" s="8">
        <v>343.36</v>
      </c>
      <c r="AE84" s="8">
        <f t="shared" si="19"/>
        <v>103.008</v>
      </c>
      <c r="AF84" s="9">
        <f t="shared" si="20"/>
        <v>0</v>
      </c>
    </row>
    <row r="85" spans="1:32" ht="12.6" customHeight="1" x14ac:dyDescent="0.3">
      <c r="A85" s="6"/>
      <c r="B85" s="7" t="s">
        <v>176</v>
      </c>
      <c r="C85" s="7" t="s">
        <v>177</v>
      </c>
      <c r="D85" s="8">
        <v>633.92999999999995</v>
      </c>
      <c r="E85" s="8">
        <f t="shared" si="0"/>
        <v>190.17899999999997</v>
      </c>
      <c r="F85" s="8">
        <f t="shared" si="1"/>
        <v>0</v>
      </c>
      <c r="G85" s="8">
        <v>355.61</v>
      </c>
      <c r="H85" s="8">
        <f t="shared" si="2"/>
        <v>106.68300000000001</v>
      </c>
      <c r="I85" s="8">
        <v>323.06</v>
      </c>
      <c r="J85" s="8">
        <f t="shared" si="3"/>
        <v>96.917999999999992</v>
      </c>
      <c r="K85" s="8">
        <f t="shared" si="4"/>
        <v>0</v>
      </c>
      <c r="L85" s="8">
        <v>285.39999999999998</v>
      </c>
      <c r="M85" s="8">
        <f t="shared" si="5"/>
        <v>74.203999999999994</v>
      </c>
      <c r="N85" s="8">
        <f t="shared" si="6"/>
        <v>0</v>
      </c>
      <c r="O85" s="8">
        <v>281.74</v>
      </c>
      <c r="P85" s="8">
        <f t="shared" si="7"/>
        <v>84.522000000000006</v>
      </c>
      <c r="Q85" s="8">
        <f t="shared" si="8"/>
        <v>0</v>
      </c>
      <c r="R85" s="8">
        <f t="shared" si="23"/>
        <v>285.39999999999998</v>
      </c>
      <c r="S85" s="8">
        <f t="shared" si="10"/>
        <v>85.61999999999999</v>
      </c>
      <c r="T85" s="8">
        <f t="shared" si="11"/>
        <v>0</v>
      </c>
      <c r="U85" s="8">
        <f t="shared" si="12"/>
        <v>285.39999999999998</v>
      </c>
      <c r="V85" s="8">
        <f t="shared" si="13"/>
        <v>85.61999999999999</v>
      </c>
      <c r="W85" s="8">
        <f t="shared" si="14"/>
        <v>0</v>
      </c>
      <c r="X85" s="8"/>
      <c r="Y85" s="8">
        <f t="shared" si="15"/>
        <v>0</v>
      </c>
      <c r="Z85" s="8">
        <f t="shared" si="16"/>
        <v>0</v>
      </c>
      <c r="AA85" s="8">
        <v>301.01</v>
      </c>
      <c r="AB85" s="8">
        <f t="shared" si="17"/>
        <v>90.302999999999997</v>
      </c>
      <c r="AC85" s="8">
        <f t="shared" si="18"/>
        <v>0</v>
      </c>
      <c r="AD85" s="8">
        <v>343.36</v>
      </c>
      <c r="AE85" s="8">
        <f t="shared" si="19"/>
        <v>103.008</v>
      </c>
      <c r="AF85" s="9">
        <f t="shared" si="20"/>
        <v>0</v>
      </c>
    </row>
    <row r="86" spans="1:32" ht="12.6" customHeight="1" x14ac:dyDescent="0.3">
      <c r="A86" s="6"/>
      <c r="B86" s="7" t="s">
        <v>178</v>
      </c>
      <c r="C86" s="7" t="s">
        <v>179</v>
      </c>
      <c r="D86" s="8">
        <v>660.32</v>
      </c>
      <c r="E86" s="8">
        <f t="shared" si="0"/>
        <v>198.096</v>
      </c>
      <c r="F86" s="8">
        <f t="shared" si="1"/>
        <v>0</v>
      </c>
      <c r="G86" s="8">
        <v>378.86</v>
      </c>
      <c r="H86" s="8">
        <f t="shared" si="2"/>
        <v>113.658</v>
      </c>
      <c r="I86" s="8">
        <v>328.29</v>
      </c>
      <c r="J86" s="8">
        <f t="shared" si="3"/>
        <v>98.487000000000009</v>
      </c>
      <c r="K86" s="8">
        <f t="shared" si="4"/>
        <v>0</v>
      </c>
      <c r="L86" s="8">
        <v>288.33999999999997</v>
      </c>
      <c r="M86" s="8">
        <f t="shared" si="5"/>
        <v>74.968400000000003</v>
      </c>
      <c r="N86" s="8">
        <f t="shared" si="6"/>
        <v>0</v>
      </c>
      <c r="O86" s="8">
        <v>284.60000000000002</v>
      </c>
      <c r="P86" s="8">
        <f t="shared" si="7"/>
        <v>85.38000000000001</v>
      </c>
      <c r="Q86" s="8">
        <f t="shared" si="8"/>
        <v>0</v>
      </c>
      <c r="R86" s="8">
        <f t="shared" si="23"/>
        <v>288.33999999999997</v>
      </c>
      <c r="S86" s="8">
        <f t="shared" si="10"/>
        <v>86.501999999999995</v>
      </c>
      <c r="T86" s="8">
        <f t="shared" si="11"/>
        <v>0</v>
      </c>
      <c r="U86" s="8">
        <f t="shared" si="12"/>
        <v>288.33999999999997</v>
      </c>
      <c r="V86" s="8">
        <f t="shared" si="13"/>
        <v>86.501999999999995</v>
      </c>
      <c r="W86" s="8">
        <f t="shared" si="14"/>
        <v>0</v>
      </c>
      <c r="X86" s="8"/>
      <c r="Y86" s="8">
        <f t="shared" si="15"/>
        <v>0</v>
      </c>
      <c r="Z86" s="8">
        <f t="shared" si="16"/>
        <v>0</v>
      </c>
      <c r="AA86" s="8">
        <v>310.35000000000002</v>
      </c>
      <c r="AB86" s="8">
        <f t="shared" si="17"/>
        <v>93.105000000000004</v>
      </c>
      <c r="AC86" s="8">
        <f t="shared" si="18"/>
        <v>0</v>
      </c>
      <c r="AD86" s="8">
        <v>348.79</v>
      </c>
      <c r="AE86" s="8">
        <f t="shared" si="19"/>
        <v>104.637</v>
      </c>
      <c r="AF86" s="9">
        <f t="shared" si="20"/>
        <v>0</v>
      </c>
    </row>
    <row r="87" spans="1:32" ht="12.6" customHeight="1" x14ac:dyDescent="0.3">
      <c r="A87" s="6"/>
      <c r="B87" s="7" t="s">
        <v>180</v>
      </c>
      <c r="C87" s="7" t="s">
        <v>181</v>
      </c>
      <c r="D87" s="8">
        <v>660.32</v>
      </c>
      <c r="E87" s="8">
        <f t="shared" si="0"/>
        <v>198.096</v>
      </c>
      <c r="F87" s="8">
        <f t="shared" si="1"/>
        <v>0</v>
      </c>
      <c r="G87" s="8">
        <v>378.86</v>
      </c>
      <c r="H87" s="8">
        <f t="shared" si="2"/>
        <v>113.658</v>
      </c>
      <c r="I87" s="8">
        <v>328.29</v>
      </c>
      <c r="J87" s="8">
        <f t="shared" si="3"/>
        <v>98.487000000000009</v>
      </c>
      <c r="K87" s="8">
        <f t="shared" si="4"/>
        <v>0</v>
      </c>
      <c r="L87" s="8">
        <v>288.33999999999997</v>
      </c>
      <c r="M87" s="8">
        <f t="shared" si="5"/>
        <v>74.968400000000003</v>
      </c>
      <c r="N87" s="8">
        <f t="shared" si="6"/>
        <v>0</v>
      </c>
      <c r="O87" s="8">
        <v>284.60000000000002</v>
      </c>
      <c r="P87" s="8">
        <f t="shared" si="7"/>
        <v>85.38000000000001</v>
      </c>
      <c r="Q87" s="8">
        <f t="shared" si="8"/>
        <v>0</v>
      </c>
      <c r="R87" s="8">
        <f t="shared" si="23"/>
        <v>288.33999999999997</v>
      </c>
      <c r="S87" s="8">
        <f t="shared" si="10"/>
        <v>86.501999999999995</v>
      </c>
      <c r="T87" s="8">
        <f t="shared" si="11"/>
        <v>0</v>
      </c>
      <c r="U87" s="8">
        <f t="shared" si="12"/>
        <v>288.33999999999997</v>
      </c>
      <c r="V87" s="8">
        <f t="shared" si="13"/>
        <v>86.501999999999995</v>
      </c>
      <c r="W87" s="8">
        <f t="shared" si="14"/>
        <v>0</v>
      </c>
      <c r="X87" s="8"/>
      <c r="Y87" s="8">
        <f t="shared" si="15"/>
        <v>0</v>
      </c>
      <c r="Z87" s="8">
        <f t="shared" si="16"/>
        <v>0</v>
      </c>
      <c r="AA87" s="8">
        <v>310.35000000000002</v>
      </c>
      <c r="AB87" s="8">
        <f t="shared" si="17"/>
        <v>93.105000000000004</v>
      </c>
      <c r="AC87" s="8">
        <f t="shared" si="18"/>
        <v>0</v>
      </c>
      <c r="AD87" s="8">
        <v>348.79</v>
      </c>
      <c r="AE87" s="8">
        <f t="shared" si="19"/>
        <v>104.637</v>
      </c>
      <c r="AF87" s="9">
        <f t="shared" si="20"/>
        <v>0</v>
      </c>
    </row>
    <row r="88" spans="1:32" ht="12.6" customHeight="1" x14ac:dyDescent="0.3">
      <c r="A88" s="6"/>
      <c r="B88" s="7" t="s">
        <v>182</v>
      </c>
      <c r="C88" s="7" t="s">
        <v>183</v>
      </c>
      <c r="D88" s="8">
        <v>762.08</v>
      </c>
      <c r="E88" s="8">
        <f t="shared" si="0"/>
        <v>228.624</v>
      </c>
      <c r="F88" s="8">
        <f t="shared" si="1"/>
        <v>0</v>
      </c>
      <c r="G88" s="8">
        <v>437.99</v>
      </c>
      <c r="H88" s="8">
        <f t="shared" si="2"/>
        <v>131.39699999999999</v>
      </c>
      <c r="I88" s="8">
        <v>379.51</v>
      </c>
      <c r="J88" s="8">
        <f t="shared" si="3"/>
        <v>113.85299999999999</v>
      </c>
      <c r="K88" s="8">
        <f t="shared" si="4"/>
        <v>0</v>
      </c>
      <c r="L88" s="8">
        <v>331.9</v>
      </c>
      <c r="M88" s="8">
        <f t="shared" si="5"/>
        <v>86.293999999999997</v>
      </c>
      <c r="N88" s="8">
        <f t="shared" si="6"/>
        <v>0</v>
      </c>
      <c r="O88" s="8">
        <v>327.66000000000003</v>
      </c>
      <c r="P88" s="8">
        <f t="shared" si="7"/>
        <v>98.298000000000002</v>
      </c>
      <c r="Q88" s="8">
        <f t="shared" si="8"/>
        <v>0</v>
      </c>
      <c r="R88" s="8">
        <f t="shared" si="23"/>
        <v>331.9</v>
      </c>
      <c r="S88" s="8">
        <f t="shared" si="10"/>
        <v>99.57</v>
      </c>
      <c r="T88" s="8">
        <f t="shared" si="11"/>
        <v>0</v>
      </c>
      <c r="U88" s="8">
        <f t="shared" si="12"/>
        <v>331.9</v>
      </c>
      <c r="V88" s="8">
        <f t="shared" si="13"/>
        <v>99.57</v>
      </c>
      <c r="W88" s="8">
        <f t="shared" si="14"/>
        <v>0</v>
      </c>
      <c r="X88" s="8"/>
      <c r="Y88" s="8">
        <f t="shared" si="15"/>
        <v>0</v>
      </c>
      <c r="Z88" s="8">
        <f t="shared" si="16"/>
        <v>0</v>
      </c>
      <c r="AA88" s="8">
        <v>347.09</v>
      </c>
      <c r="AB88" s="8">
        <f t="shared" si="17"/>
        <v>104.127</v>
      </c>
      <c r="AC88" s="8">
        <f t="shared" si="18"/>
        <v>0</v>
      </c>
      <c r="AD88" s="8">
        <v>401.05</v>
      </c>
      <c r="AE88" s="8">
        <f t="shared" si="19"/>
        <v>120.315</v>
      </c>
      <c r="AF88" s="9">
        <f t="shared" si="20"/>
        <v>0</v>
      </c>
    </row>
    <row r="89" spans="1:32" ht="12.6" customHeight="1" x14ac:dyDescent="0.3">
      <c r="A89" s="6"/>
      <c r="B89" s="7" t="s">
        <v>184</v>
      </c>
      <c r="C89" s="7" t="s">
        <v>185</v>
      </c>
      <c r="D89" s="8">
        <v>762.08</v>
      </c>
      <c r="E89" s="8">
        <f t="shared" si="0"/>
        <v>228.624</v>
      </c>
      <c r="F89" s="8">
        <f t="shared" si="1"/>
        <v>0</v>
      </c>
      <c r="G89" s="8">
        <v>437.99</v>
      </c>
      <c r="H89" s="8">
        <f t="shared" si="2"/>
        <v>131.39699999999999</v>
      </c>
      <c r="I89" s="8">
        <v>379.51</v>
      </c>
      <c r="J89" s="8">
        <f t="shared" si="3"/>
        <v>113.85299999999999</v>
      </c>
      <c r="K89" s="8">
        <f t="shared" si="4"/>
        <v>0</v>
      </c>
      <c r="L89" s="8">
        <v>331.9</v>
      </c>
      <c r="M89" s="8">
        <f t="shared" si="5"/>
        <v>86.293999999999997</v>
      </c>
      <c r="N89" s="8">
        <f t="shared" si="6"/>
        <v>0</v>
      </c>
      <c r="O89" s="8">
        <v>327.66000000000003</v>
      </c>
      <c r="P89" s="8">
        <f t="shared" si="7"/>
        <v>98.298000000000002</v>
      </c>
      <c r="Q89" s="8">
        <f t="shared" si="8"/>
        <v>0</v>
      </c>
      <c r="R89" s="8">
        <f t="shared" si="23"/>
        <v>331.9</v>
      </c>
      <c r="S89" s="8">
        <f t="shared" si="10"/>
        <v>99.57</v>
      </c>
      <c r="T89" s="8">
        <f t="shared" si="11"/>
        <v>0</v>
      </c>
      <c r="U89" s="8">
        <f t="shared" si="12"/>
        <v>331.9</v>
      </c>
      <c r="V89" s="8">
        <f t="shared" si="13"/>
        <v>99.57</v>
      </c>
      <c r="W89" s="8">
        <f t="shared" si="14"/>
        <v>0</v>
      </c>
      <c r="X89" s="8"/>
      <c r="Y89" s="8">
        <f t="shared" si="15"/>
        <v>0</v>
      </c>
      <c r="Z89" s="8">
        <f t="shared" si="16"/>
        <v>0</v>
      </c>
      <c r="AA89" s="8">
        <v>347.09</v>
      </c>
      <c r="AB89" s="8">
        <f t="shared" si="17"/>
        <v>104.127</v>
      </c>
      <c r="AC89" s="8">
        <f t="shared" si="18"/>
        <v>0</v>
      </c>
      <c r="AD89" s="8">
        <v>401.05</v>
      </c>
      <c r="AE89" s="8">
        <f t="shared" si="19"/>
        <v>120.315</v>
      </c>
      <c r="AF89" s="9">
        <f t="shared" si="20"/>
        <v>0</v>
      </c>
    </row>
    <row r="90" spans="1:32" ht="12.6" customHeight="1" x14ac:dyDescent="0.3">
      <c r="A90" s="6"/>
      <c r="B90" s="7" t="s">
        <v>186</v>
      </c>
      <c r="C90" s="7" t="s">
        <v>187</v>
      </c>
      <c r="D90" s="8">
        <v>1100.4100000000001</v>
      </c>
      <c r="E90" s="8">
        <f t="shared" si="0"/>
        <v>330.12299999999999</v>
      </c>
      <c r="F90" s="8">
        <f t="shared" si="1"/>
        <v>0</v>
      </c>
      <c r="G90" s="8">
        <v>595.41999999999996</v>
      </c>
      <c r="H90" s="8">
        <f t="shared" si="2"/>
        <v>178.62599999999998</v>
      </c>
      <c r="I90" s="8">
        <v>583.16999999999996</v>
      </c>
      <c r="J90" s="8">
        <f t="shared" si="3"/>
        <v>174.95099999999999</v>
      </c>
      <c r="K90" s="8">
        <f t="shared" si="4"/>
        <v>0</v>
      </c>
      <c r="L90" s="8">
        <v>516.30999999999995</v>
      </c>
      <c r="M90" s="8">
        <f t="shared" si="5"/>
        <v>134.2406</v>
      </c>
      <c r="N90" s="8">
        <f t="shared" si="6"/>
        <v>0</v>
      </c>
      <c r="O90" s="8">
        <v>509.66</v>
      </c>
      <c r="P90" s="8">
        <f t="shared" si="7"/>
        <v>152.898</v>
      </c>
      <c r="Q90" s="8">
        <f t="shared" si="8"/>
        <v>0</v>
      </c>
      <c r="R90" s="8">
        <f t="shared" si="23"/>
        <v>516.30999999999995</v>
      </c>
      <c r="S90" s="8">
        <f t="shared" si="10"/>
        <v>154.89299999999997</v>
      </c>
      <c r="T90" s="8">
        <f t="shared" si="11"/>
        <v>0</v>
      </c>
      <c r="U90" s="8">
        <f t="shared" si="12"/>
        <v>516.30999999999995</v>
      </c>
      <c r="V90" s="8">
        <f t="shared" si="13"/>
        <v>154.89299999999997</v>
      </c>
      <c r="W90" s="8">
        <f t="shared" si="14"/>
        <v>0</v>
      </c>
      <c r="X90" s="8"/>
      <c r="Y90" s="8">
        <f t="shared" si="15"/>
        <v>0</v>
      </c>
      <c r="Z90" s="8">
        <f t="shared" si="16"/>
        <v>0</v>
      </c>
      <c r="AA90" s="8">
        <v>540.76</v>
      </c>
      <c r="AB90" s="8">
        <f t="shared" si="17"/>
        <v>162.22799999999998</v>
      </c>
      <c r="AC90" s="8">
        <f t="shared" si="18"/>
        <v>0</v>
      </c>
      <c r="AD90" s="8">
        <v>616.97</v>
      </c>
      <c r="AE90" s="8">
        <f t="shared" si="19"/>
        <v>185.09100000000001</v>
      </c>
      <c r="AF90" s="9">
        <f t="shared" si="20"/>
        <v>0</v>
      </c>
    </row>
    <row r="91" spans="1:32" ht="12.6" customHeight="1" x14ac:dyDescent="0.3">
      <c r="A91" s="6"/>
      <c r="B91" s="7" t="s">
        <v>188</v>
      </c>
      <c r="C91" s="7" t="s">
        <v>189</v>
      </c>
      <c r="D91" s="8">
        <v>1131.7</v>
      </c>
      <c r="E91" s="8">
        <f t="shared" si="0"/>
        <v>339.51</v>
      </c>
      <c r="F91" s="8">
        <f t="shared" si="1"/>
        <v>0</v>
      </c>
      <c r="G91" s="8">
        <v>611.51</v>
      </c>
      <c r="H91" s="8">
        <f t="shared" si="2"/>
        <v>183.453</v>
      </c>
      <c r="I91" s="8">
        <v>601.51</v>
      </c>
      <c r="J91" s="8">
        <f t="shared" si="3"/>
        <v>180.453</v>
      </c>
      <c r="K91" s="8">
        <f t="shared" si="4"/>
        <v>0</v>
      </c>
      <c r="L91" s="8">
        <v>531.89</v>
      </c>
      <c r="M91" s="8">
        <f t="shared" si="5"/>
        <v>138.29140000000001</v>
      </c>
      <c r="N91" s="8">
        <f t="shared" si="6"/>
        <v>0</v>
      </c>
      <c r="O91" s="8">
        <v>525.08000000000004</v>
      </c>
      <c r="P91" s="8">
        <f t="shared" si="7"/>
        <v>157.524</v>
      </c>
      <c r="Q91" s="8">
        <f t="shared" si="8"/>
        <v>0</v>
      </c>
      <c r="R91" s="8">
        <f t="shared" si="23"/>
        <v>531.89</v>
      </c>
      <c r="S91" s="8">
        <f t="shared" si="10"/>
        <v>159.56699999999998</v>
      </c>
      <c r="T91" s="8">
        <f t="shared" si="11"/>
        <v>0</v>
      </c>
      <c r="U91" s="8">
        <f t="shared" si="12"/>
        <v>531.89</v>
      </c>
      <c r="V91" s="8">
        <f t="shared" si="13"/>
        <v>159.56699999999998</v>
      </c>
      <c r="W91" s="8">
        <f t="shared" si="14"/>
        <v>0</v>
      </c>
      <c r="X91" s="8"/>
      <c r="Y91" s="8">
        <f t="shared" si="15"/>
        <v>0</v>
      </c>
      <c r="Z91" s="8">
        <f t="shared" si="16"/>
        <v>0</v>
      </c>
      <c r="AA91" s="8">
        <v>554.37</v>
      </c>
      <c r="AB91" s="8">
        <f t="shared" si="17"/>
        <v>166.31100000000001</v>
      </c>
      <c r="AC91" s="8">
        <f t="shared" si="18"/>
        <v>0</v>
      </c>
      <c r="AD91" s="8">
        <v>634.78</v>
      </c>
      <c r="AE91" s="8">
        <f t="shared" si="19"/>
        <v>190.434</v>
      </c>
      <c r="AF91" s="9">
        <f t="shared" si="20"/>
        <v>0</v>
      </c>
    </row>
    <row r="92" spans="1:32" ht="12.6" customHeight="1" x14ac:dyDescent="0.3">
      <c r="A92" s="6"/>
      <c r="B92" s="7" t="s">
        <v>190</v>
      </c>
      <c r="C92" s="7" t="s">
        <v>191</v>
      </c>
      <c r="D92" s="8">
        <v>1020.31</v>
      </c>
      <c r="E92" s="8">
        <f t="shared" si="0"/>
        <v>306.09299999999996</v>
      </c>
      <c r="F92" s="8">
        <f t="shared" si="1"/>
        <v>0</v>
      </c>
      <c r="G92" s="8">
        <v>484.49</v>
      </c>
      <c r="H92" s="8">
        <f t="shared" si="2"/>
        <v>145.34700000000001</v>
      </c>
      <c r="I92" s="8">
        <v>608.07000000000005</v>
      </c>
      <c r="J92" s="8">
        <f t="shared" si="3"/>
        <v>182.42100000000002</v>
      </c>
      <c r="K92" s="8">
        <f t="shared" si="4"/>
        <v>0</v>
      </c>
      <c r="L92" s="8">
        <v>546.54999999999995</v>
      </c>
      <c r="M92" s="8">
        <f t="shared" si="5"/>
        <v>142.10299999999998</v>
      </c>
      <c r="N92" s="8">
        <f t="shared" si="6"/>
        <v>0</v>
      </c>
      <c r="O92" s="8">
        <v>539.54</v>
      </c>
      <c r="P92" s="8">
        <f t="shared" si="7"/>
        <v>161.86199999999999</v>
      </c>
      <c r="Q92" s="8">
        <f t="shared" si="8"/>
        <v>0</v>
      </c>
      <c r="R92" s="8">
        <f t="shared" si="23"/>
        <v>546.54999999999995</v>
      </c>
      <c r="S92" s="8">
        <f t="shared" si="10"/>
        <v>163.96499999999997</v>
      </c>
      <c r="T92" s="8">
        <f t="shared" si="11"/>
        <v>0</v>
      </c>
      <c r="U92" s="8">
        <f t="shared" si="12"/>
        <v>546.54999999999995</v>
      </c>
      <c r="V92" s="8">
        <f t="shared" si="13"/>
        <v>163.96499999999997</v>
      </c>
      <c r="W92" s="8">
        <f t="shared" si="14"/>
        <v>0</v>
      </c>
      <c r="X92" s="8"/>
      <c r="Y92" s="8">
        <f t="shared" si="15"/>
        <v>0</v>
      </c>
      <c r="Z92" s="8">
        <f t="shared" si="16"/>
        <v>0</v>
      </c>
      <c r="AA92" s="8">
        <v>573.88</v>
      </c>
      <c r="AB92" s="8">
        <f t="shared" si="17"/>
        <v>172.16399999999999</v>
      </c>
      <c r="AC92" s="8">
        <f t="shared" si="18"/>
        <v>0</v>
      </c>
      <c r="AD92" s="8">
        <v>638.91999999999996</v>
      </c>
      <c r="AE92" s="8">
        <f t="shared" si="19"/>
        <v>191.67599999999999</v>
      </c>
      <c r="AF92" s="9">
        <f t="shared" si="20"/>
        <v>0</v>
      </c>
    </row>
    <row r="93" spans="1:32" ht="12.6" customHeight="1" x14ac:dyDescent="0.3">
      <c r="A93" s="6"/>
      <c r="B93" s="7" t="s">
        <v>192</v>
      </c>
      <c r="C93" s="7" t="s">
        <v>193</v>
      </c>
      <c r="D93" s="8">
        <v>1231.8399999999999</v>
      </c>
      <c r="E93" s="8">
        <f t="shared" si="0"/>
        <v>369.55199999999996</v>
      </c>
      <c r="F93" s="8">
        <f t="shared" si="1"/>
        <v>0</v>
      </c>
      <c r="G93" s="8">
        <v>642.44000000000005</v>
      </c>
      <c r="H93" s="8">
        <f t="shared" si="2"/>
        <v>192.732</v>
      </c>
      <c r="I93" s="8">
        <v>677.28</v>
      </c>
      <c r="J93" s="8">
        <f t="shared" si="3"/>
        <v>203.184</v>
      </c>
      <c r="K93" s="8">
        <f t="shared" si="4"/>
        <v>0</v>
      </c>
      <c r="L93" s="8">
        <v>603.15</v>
      </c>
      <c r="M93" s="8">
        <f t="shared" si="5"/>
        <v>156.81899999999999</v>
      </c>
      <c r="N93" s="8">
        <f t="shared" si="6"/>
        <v>0</v>
      </c>
      <c r="O93" s="8"/>
      <c r="P93" s="8">
        <f t="shared" si="7"/>
        <v>0</v>
      </c>
      <c r="Q93" s="8">
        <f t="shared" si="8"/>
        <v>0</v>
      </c>
      <c r="R93" s="8">
        <f t="shared" si="23"/>
        <v>603.15</v>
      </c>
      <c r="S93" s="8">
        <f t="shared" si="10"/>
        <v>180.94499999999999</v>
      </c>
      <c r="T93" s="8">
        <f t="shared" si="11"/>
        <v>0</v>
      </c>
      <c r="U93" s="8">
        <f t="shared" si="12"/>
        <v>603.15</v>
      </c>
      <c r="V93" s="8">
        <f t="shared" si="13"/>
        <v>180.94499999999999</v>
      </c>
      <c r="W93" s="8">
        <f t="shared" si="14"/>
        <v>0</v>
      </c>
      <c r="X93" s="8"/>
      <c r="Y93" s="8">
        <f t="shared" si="15"/>
        <v>0</v>
      </c>
      <c r="Z93" s="8">
        <f t="shared" si="16"/>
        <v>0</v>
      </c>
      <c r="AA93" s="8"/>
      <c r="AB93" s="8">
        <f t="shared" si="17"/>
        <v>0</v>
      </c>
      <c r="AC93" s="8">
        <f t="shared" si="18"/>
        <v>0</v>
      </c>
      <c r="AD93" s="8"/>
      <c r="AE93" s="8">
        <f t="shared" si="19"/>
        <v>0</v>
      </c>
      <c r="AF93" s="9">
        <f t="shared" si="20"/>
        <v>0</v>
      </c>
    </row>
    <row r="94" spans="1:32" ht="12.6" customHeight="1" x14ac:dyDescent="0.3">
      <c r="A94" s="6"/>
      <c r="B94" s="7" t="s">
        <v>194</v>
      </c>
      <c r="C94" s="7" t="s">
        <v>195</v>
      </c>
      <c r="D94" s="8">
        <v>471.32</v>
      </c>
      <c r="E94" s="8">
        <f t="shared" si="0"/>
        <v>141.39599999999999</v>
      </c>
      <c r="F94" s="8">
        <f t="shared" si="1"/>
        <v>0</v>
      </c>
      <c r="G94" s="8">
        <v>270.08</v>
      </c>
      <c r="H94" s="8">
        <f t="shared" si="2"/>
        <v>81.023999999999987</v>
      </c>
      <c r="I94" s="8">
        <v>235.89</v>
      </c>
      <c r="J94" s="8">
        <f t="shared" si="3"/>
        <v>70.766999999999996</v>
      </c>
      <c r="K94" s="8">
        <f t="shared" si="4"/>
        <v>0</v>
      </c>
      <c r="L94" s="8">
        <v>207.27</v>
      </c>
      <c r="M94" s="8">
        <f t="shared" si="5"/>
        <v>53.890200000000007</v>
      </c>
      <c r="N94" s="8">
        <f t="shared" si="6"/>
        <v>0</v>
      </c>
      <c r="O94" s="8">
        <v>194.55</v>
      </c>
      <c r="P94" s="8">
        <f t="shared" si="7"/>
        <v>58.365000000000002</v>
      </c>
      <c r="Q94" s="8">
        <f t="shared" si="8"/>
        <v>0</v>
      </c>
      <c r="R94" s="8">
        <f t="shared" si="23"/>
        <v>207.27</v>
      </c>
      <c r="S94" s="8">
        <f t="shared" si="10"/>
        <v>62.180999999999997</v>
      </c>
      <c r="T94" s="8">
        <f t="shared" si="11"/>
        <v>0</v>
      </c>
      <c r="U94" s="8">
        <f t="shared" si="12"/>
        <v>207.27</v>
      </c>
      <c r="V94" s="8">
        <f t="shared" si="13"/>
        <v>62.180999999999997</v>
      </c>
      <c r="W94" s="8">
        <f t="shared" si="14"/>
        <v>0</v>
      </c>
      <c r="X94" s="8">
        <v>222.9</v>
      </c>
      <c r="Y94" s="8">
        <f t="shared" si="15"/>
        <v>66.87</v>
      </c>
      <c r="Z94" s="8">
        <f t="shared" si="16"/>
        <v>0</v>
      </c>
      <c r="AA94" s="8">
        <v>215.61</v>
      </c>
      <c r="AB94" s="8">
        <f t="shared" si="17"/>
        <v>64.683000000000007</v>
      </c>
      <c r="AC94" s="8">
        <f t="shared" si="18"/>
        <v>0</v>
      </c>
      <c r="AD94" s="8">
        <v>250.1</v>
      </c>
      <c r="AE94" s="8">
        <f t="shared" si="19"/>
        <v>75.03</v>
      </c>
      <c r="AF94" s="9">
        <f t="shared" si="20"/>
        <v>0</v>
      </c>
    </row>
    <row r="95" spans="1:32" ht="12.6" customHeight="1" x14ac:dyDescent="0.3">
      <c r="A95" s="6"/>
      <c r="B95" s="7" t="s">
        <v>196</v>
      </c>
      <c r="C95" s="7" t="s">
        <v>197</v>
      </c>
      <c r="D95" s="8">
        <v>505.12</v>
      </c>
      <c r="E95" s="8">
        <f t="shared" si="0"/>
        <v>151.536</v>
      </c>
      <c r="F95" s="8">
        <f t="shared" si="1"/>
        <v>0</v>
      </c>
      <c r="G95" s="8">
        <v>295.87</v>
      </c>
      <c r="H95" s="8">
        <f t="shared" si="2"/>
        <v>88.760999999999996</v>
      </c>
      <c r="I95" s="8">
        <v>245.71</v>
      </c>
      <c r="J95" s="8">
        <f t="shared" si="3"/>
        <v>73.712999999999994</v>
      </c>
      <c r="K95" s="8">
        <f t="shared" si="4"/>
        <v>0</v>
      </c>
      <c r="L95" s="8">
        <v>214.47</v>
      </c>
      <c r="M95" s="8">
        <f t="shared" si="5"/>
        <v>55.7622</v>
      </c>
      <c r="N95" s="8">
        <f t="shared" si="6"/>
        <v>0</v>
      </c>
      <c r="O95" s="8">
        <v>195.6</v>
      </c>
      <c r="P95" s="8">
        <f t="shared" si="7"/>
        <v>58.679999999999993</v>
      </c>
      <c r="Q95" s="8">
        <f t="shared" si="8"/>
        <v>0</v>
      </c>
      <c r="R95" s="8">
        <f t="shared" si="23"/>
        <v>214.47</v>
      </c>
      <c r="S95" s="8">
        <f t="shared" si="10"/>
        <v>64.340999999999994</v>
      </c>
      <c r="T95" s="8">
        <f t="shared" si="11"/>
        <v>0</v>
      </c>
      <c r="U95" s="8">
        <f t="shared" si="12"/>
        <v>214.47</v>
      </c>
      <c r="V95" s="8">
        <f t="shared" si="13"/>
        <v>64.340999999999994</v>
      </c>
      <c r="W95" s="8">
        <f t="shared" si="14"/>
        <v>0</v>
      </c>
      <c r="X95" s="8">
        <v>264.27999999999997</v>
      </c>
      <c r="Y95" s="8">
        <f t="shared" si="15"/>
        <v>79.283999999999992</v>
      </c>
      <c r="Z95" s="8">
        <f t="shared" si="16"/>
        <v>0</v>
      </c>
      <c r="AA95" s="8">
        <v>224.82</v>
      </c>
      <c r="AB95" s="8">
        <f t="shared" si="17"/>
        <v>67.445999999999998</v>
      </c>
      <c r="AC95" s="8">
        <f t="shared" si="18"/>
        <v>0</v>
      </c>
      <c r="AD95" s="8">
        <v>261.76</v>
      </c>
      <c r="AE95" s="8">
        <f t="shared" si="19"/>
        <v>78.527999999999992</v>
      </c>
      <c r="AF95" s="9">
        <f t="shared" si="20"/>
        <v>0</v>
      </c>
    </row>
    <row r="96" spans="1:32" ht="12.6" customHeight="1" x14ac:dyDescent="0.3">
      <c r="A96" s="6"/>
      <c r="B96" s="7" t="s">
        <v>198</v>
      </c>
      <c r="C96" s="7" t="s">
        <v>199</v>
      </c>
      <c r="D96" s="8">
        <v>546.96</v>
      </c>
      <c r="E96" s="8">
        <f t="shared" si="0"/>
        <v>164.08799999999999</v>
      </c>
      <c r="F96" s="8">
        <f t="shared" si="1"/>
        <v>0</v>
      </c>
      <c r="G96" s="8">
        <v>337.6</v>
      </c>
      <c r="H96" s="8">
        <f t="shared" si="2"/>
        <v>101.28</v>
      </c>
      <c r="I96" s="8">
        <v>249.51</v>
      </c>
      <c r="J96" s="8">
        <f t="shared" si="3"/>
        <v>74.852999999999994</v>
      </c>
      <c r="K96" s="8">
        <f t="shared" si="4"/>
        <v>0</v>
      </c>
      <c r="L96" s="8">
        <v>215.53</v>
      </c>
      <c r="M96" s="8">
        <f t="shared" si="5"/>
        <v>56.037800000000004</v>
      </c>
      <c r="N96" s="8">
        <f t="shared" si="6"/>
        <v>0</v>
      </c>
      <c r="O96" s="8">
        <v>201.38</v>
      </c>
      <c r="P96" s="8">
        <f t="shared" si="7"/>
        <v>60.413999999999994</v>
      </c>
      <c r="Q96" s="8">
        <f t="shared" si="8"/>
        <v>0</v>
      </c>
      <c r="R96" s="8">
        <f t="shared" si="23"/>
        <v>215.53</v>
      </c>
      <c r="S96" s="8">
        <f t="shared" si="10"/>
        <v>64.658999999999992</v>
      </c>
      <c r="T96" s="8">
        <f t="shared" si="11"/>
        <v>0</v>
      </c>
      <c r="U96" s="8">
        <f t="shared" si="12"/>
        <v>215.53</v>
      </c>
      <c r="V96" s="8">
        <f t="shared" si="13"/>
        <v>64.658999999999992</v>
      </c>
      <c r="W96" s="8">
        <f t="shared" si="14"/>
        <v>0</v>
      </c>
      <c r="X96" s="8">
        <v>305.67</v>
      </c>
      <c r="Y96" s="8">
        <f t="shared" si="15"/>
        <v>91.701000000000008</v>
      </c>
      <c r="Z96" s="8">
        <f t="shared" si="16"/>
        <v>0</v>
      </c>
      <c r="AA96" s="8">
        <v>228.03</v>
      </c>
      <c r="AB96" s="8">
        <f t="shared" si="17"/>
        <v>68.408999999999992</v>
      </c>
      <c r="AC96" s="8">
        <f t="shared" si="18"/>
        <v>0</v>
      </c>
      <c r="AD96" s="8">
        <v>265.43</v>
      </c>
      <c r="AE96" s="8">
        <f t="shared" si="19"/>
        <v>79.629000000000005</v>
      </c>
      <c r="AF96" s="9">
        <f t="shared" si="20"/>
        <v>0</v>
      </c>
    </row>
    <row r="97" spans="1:32" ht="12.6" customHeight="1" x14ac:dyDescent="0.3">
      <c r="A97" s="6"/>
      <c r="B97" s="7" t="s">
        <v>200</v>
      </c>
      <c r="C97" s="7" t="s">
        <v>201</v>
      </c>
      <c r="D97" s="8">
        <v>590.57000000000005</v>
      </c>
      <c r="E97" s="8">
        <f t="shared" si="0"/>
        <v>177.17100000000002</v>
      </c>
      <c r="F97" s="8">
        <f t="shared" si="1"/>
        <v>0</v>
      </c>
      <c r="G97" s="8">
        <v>374</v>
      </c>
      <c r="H97" s="8">
        <f t="shared" si="2"/>
        <v>112.2</v>
      </c>
      <c r="I97" s="8">
        <v>258.49</v>
      </c>
      <c r="J97" s="8">
        <f t="shared" si="3"/>
        <v>77.546999999999997</v>
      </c>
      <c r="K97" s="8">
        <f t="shared" si="4"/>
        <v>0</v>
      </c>
      <c r="L97" s="8">
        <v>222.73</v>
      </c>
      <c r="M97" s="8">
        <f t="shared" si="5"/>
        <v>57.909799999999997</v>
      </c>
      <c r="N97" s="8">
        <f t="shared" si="6"/>
        <v>0</v>
      </c>
      <c r="O97" s="8">
        <v>208.2</v>
      </c>
      <c r="P97" s="8">
        <f t="shared" si="7"/>
        <v>62.459999999999994</v>
      </c>
      <c r="Q97" s="8">
        <f t="shared" si="8"/>
        <v>0</v>
      </c>
      <c r="R97" s="8">
        <f t="shared" si="23"/>
        <v>222.73</v>
      </c>
      <c r="S97" s="8">
        <f t="shared" si="10"/>
        <v>66.818999999999988</v>
      </c>
      <c r="T97" s="8">
        <f t="shared" si="11"/>
        <v>0</v>
      </c>
      <c r="U97" s="8">
        <f t="shared" si="12"/>
        <v>222.73</v>
      </c>
      <c r="V97" s="8">
        <f t="shared" si="13"/>
        <v>66.818999999999988</v>
      </c>
      <c r="W97" s="8">
        <f t="shared" si="14"/>
        <v>0</v>
      </c>
      <c r="X97" s="8">
        <v>347.05</v>
      </c>
      <c r="Y97" s="8">
        <f t="shared" si="15"/>
        <v>104.11499999999999</v>
      </c>
      <c r="Z97" s="8">
        <f t="shared" si="16"/>
        <v>0</v>
      </c>
      <c r="AA97" s="8">
        <v>231.5</v>
      </c>
      <c r="AB97" s="8">
        <f t="shared" si="17"/>
        <v>69.45</v>
      </c>
      <c r="AC97" s="8">
        <f t="shared" si="18"/>
        <v>0</v>
      </c>
      <c r="AD97" s="8">
        <v>276.36</v>
      </c>
      <c r="AE97" s="8">
        <f t="shared" si="19"/>
        <v>82.908000000000001</v>
      </c>
      <c r="AF97" s="9">
        <f t="shared" si="20"/>
        <v>0</v>
      </c>
    </row>
    <row r="98" spans="1:32" ht="12.6" customHeight="1" x14ac:dyDescent="0.3">
      <c r="A98" s="6"/>
      <c r="B98" s="7" t="s">
        <v>202</v>
      </c>
      <c r="C98" s="7" t="s">
        <v>203</v>
      </c>
      <c r="D98" s="8">
        <v>634.05999999999995</v>
      </c>
      <c r="E98" s="8">
        <f t="shared" si="0"/>
        <v>190.21799999999999</v>
      </c>
      <c r="F98" s="8">
        <f t="shared" si="1"/>
        <v>0</v>
      </c>
      <c r="G98" s="8">
        <v>413.36</v>
      </c>
      <c r="H98" s="8">
        <f t="shared" si="2"/>
        <v>124.008</v>
      </c>
      <c r="I98" s="8">
        <v>265.95</v>
      </c>
      <c r="J98" s="8">
        <f t="shared" si="3"/>
        <v>79.784999999999997</v>
      </c>
      <c r="K98" s="8">
        <f t="shared" si="4"/>
        <v>0</v>
      </c>
      <c r="L98" s="8">
        <v>228.23</v>
      </c>
      <c r="M98" s="8">
        <f t="shared" si="5"/>
        <v>59.339799999999997</v>
      </c>
      <c r="N98" s="8">
        <f t="shared" si="6"/>
        <v>0</v>
      </c>
      <c r="O98" s="8">
        <v>212.38</v>
      </c>
      <c r="P98" s="8">
        <f t="shared" si="7"/>
        <v>63.713999999999999</v>
      </c>
      <c r="Q98" s="8">
        <f t="shared" si="8"/>
        <v>0</v>
      </c>
      <c r="R98" s="8">
        <f t="shared" si="23"/>
        <v>228.23</v>
      </c>
      <c r="S98" s="8">
        <f t="shared" si="10"/>
        <v>68.468999999999994</v>
      </c>
      <c r="T98" s="8">
        <f t="shared" si="11"/>
        <v>0</v>
      </c>
      <c r="U98" s="8">
        <f t="shared" si="12"/>
        <v>228.23</v>
      </c>
      <c r="V98" s="8">
        <f t="shared" si="13"/>
        <v>68.468999999999994</v>
      </c>
      <c r="W98" s="8">
        <f t="shared" si="14"/>
        <v>0</v>
      </c>
      <c r="X98" s="8">
        <v>388.99</v>
      </c>
      <c r="Y98" s="8">
        <f t="shared" si="15"/>
        <v>116.697</v>
      </c>
      <c r="Z98" s="8">
        <f t="shared" si="16"/>
        <v>0</v>
      </c>
      <c r="AA98" s="8">
        <v>233.34</v>
      </c>
      <c r="AB98" s="8">
        <f t="shared" si="17"/>
        <v>70.001999999999995</v>
      </c>
      <c r="AC98" s="8">
        <f t="shared" si="18"/>
        <v>0</v>
      </c>
      <c r="AD98" s="8">
        <v>285.73</v>
      </c>
      <c r="AE98" s="8">
        <f t="shared" si="19"/>
        <v>85.719000000000008</v>
      </c>
      <c r="AF98" s="9">
        <f t="shared" si="20"/>
        <v>0</v>
      </c>
    </row>
    <row r="99" spans="1:32" ht="12.6" customHeight="1" x14ac:dyDescent="0.3">
      <c r="A99" s="6"/>
      <c r="B99" s="7" t="s">
        <v>204</v>
      </c>
      <c r="C99" s="7" t="s">
        <v>205</v>
      </c>
      <c r="D99" s="8">
        <v>699.81</v>
      </c>
      <c r="E99" s="8">
        <f t="shared" si="0"/>
        <v>209.94299999999998</v>
      </c>
      <c r="F99" s="8">
        <f t="shared" si="1"/>
        <v>0</v>
      </c>
      <c r="G99" s="8">
        <v>475.9</v>
      </c>
      <c r="H99" s="8">
        <f t="shared" si="2"/>
        <v>142.76999999999998</v>
      </c>
      <c r="I99" s="8">
        <v>273.93</v>
      </c>
      <c r="J99" s="8">
        <f t="shared" si="3"/>
        <v>82.179000000000002</v>
      </c>
      <c r="K99" s="8">
        <f t="shared" si="4"/>
        <v>0</v>
      </c>
      <c r="L99" s="8">
        <v>232.68</v>
      </c>
      <c r="M99" s="8">
        <f t="shared" si="5"/>
        <v>60.4968</v>
      </c>
      <c r="N99" s="8">
        <f t="shared" si="6"/>
        <v>0</v>
      </c>
      <c r="O99" s="8"/>
      <c r="P99" s="8">
        <f t="shared" si="7"/>
        <v>0</v>
      </c>
      <c r="Q99" s="8">
        <f t="shared" si="8"/>
        <v>0</v>
      </c>
      <c r="R99" s="8">
        <f t="shared" si="23"/>
        <v>232.68</v>
      </c>
      <c r="S99" s="8">
        <f t="shared" si="10"/>
        <v>69.804000000000002</v>
      </c>
      <c r="T99" s="8">
        <f t="shared" si="11"/>
        <v>0</v>
      </c>
      <c r="U99" s="8">
        <f t="shared" si="12"/>
        <v>232.68</v>
      </c>
      <c r="V99" s="8">
        <f t="shared" si="13"/>
        <v>69.804000000000002</v>
      </c>
      <c r="W99" s="8">
        <f t="shared" si="14"/>
        <v>0</v>
      </c>
      <c r="X99" s="8">
        <v>430.38</v>
      </c>
      <c r="Y99" s="8">
        <f t="shared" si="15"/>
        <v>129.114</v>
      </c>
      <c r="Z99" s="8">
        <f t="shared" si="16"/>
        <v>0</v>
      </c>
      <c r="AA99" s="8"/>
      <c r="AB99" s="8">
        <f t="shared" si="17"/>
        <v>0</v>
      </c>
      <c r="AC99" s="8">
        <f t="shared" si="18"/>
        <v>0</v>
      </c>
      <c r="AD99" s="8"/>
      <c r="AE99" s="8">
        <f t="shared" si="19"/>
        <v>0</v>
      </c>
      <c r="AF99" s="9">
        <f t="shared" si="20"/>
        <v>0</v>
      </c>
    </row>
    <row r="100" spans="1:32" ht="12.6" customHeight="1" x14ac:dyDescent="0.3">
      <c r="A100" s="6"/>
      <c r="B100" s="7" t="s">
        <v>206</v>
      </c>
      <c r="C100" s="7" t="s">
        <v>207</v>
      </c>
      <c r="D100" s="8">
        <v>744.47</v>
      </c>
      <c r="E100" s="8">
        <f t="shared" si="0"/>
        <v>223.34100000000001</v>
      </c>
      <c r="F100" s="8">
        <f t="shared" si="1"/>
        <v>0</v>
      </c>
      <c r="G100" s="8">
        <v>507.27</v>
      </c>
      <c r="H100" s="8">
        <f t="shared" si="2"/>
        <v>152.18099999999998</v>
      </c>
      <c r="I100" s="8">
        <v>289.79000000000002</v>
      </c>
      <c r="J100" s="8">
        <f t="shared" si="3"/>
        <v>86.936999999999998</v>
      </c>
      <c r="K100" s="8">
        <f t="shared" si="4"/>
        <v>0</v>
      </c>
      <c r="L100" s="8">
        <v>245.59</v>
      </c>
      <c r="M100" s="8">
        <f t="shared" si="5"/>
        <v>63.853400000000001</v>
      </c>
      <c r="N100" s="8">
        <f t="shared" si="6"/>
        <v>0</v>
      </c>
      <c r="O100" s="8"/>
      <c r="P100" s="8">
        <f t="shared" si="7"/>
        <v>0</v>
      </c>
      <c r="Q100" s="8">
        <f t="shared" si="8"/>
        <v>0</v>
      </c>
      <c r="R100" s="8">
        <f t="shared" si="23"/>
        <v>245.59</v>
      </c>
      <c r="S100" s="8">
        <f t="shared" si="10"/>
        <v>73.676999999999992</v>
      </c>
      <c r="T100" s="8">
        <f t="shared" si="11"/>
        <v>0</v>
      </c>
      <c r="U100" s="8">
        <f t="shared" si="12"/>
        <v>245.59</v>
      </c>
      <c r="V100" s="8">
        <f t="shared" si="13"/>
        <v>73.676999999999992</v>
      </c>
      <c r="W100" s="8">
        <f t="shared" si="14"/>
        <v>0</v>
      </c>
      <c r="X100" s="8">
        <v>471.77</v>
      </c>
      <c r="Y100" s="8">
        <f t="shared" si="15"/>
        <v>141.53099999999998</v>
      </c>
      <c r="Z100" s="8">
        <f t="shared" si="16"/>
        <v>0</v>
      </c>
      <c r="AA100" s="8"/>
      <c r="AB100" s="8">
        <f t="shared" si="17"/>
        <v>0</v>
      </c>
      <c r="AC100" s="8">
        <f t="shared" si="18"/>
        <v>0</v>
      </c>
      <c r="AD100" s="8"/>
      <c r="AE100" s="8">
        <f t="shared" si="19"/>
        <v>0</v>
      </c>
      <c r="AF100" s="9">
        <f t="shared" si="20"/>
        <v>0</v>
      </c>
    </row>
    <row r="101" spans="1:32" ht="12.6" customHeight="1" x14ac:dyDescent="0.3">
      <c r="A101" s="6"/>
      <c r="B101" s="42" t="s">
        <v>208</v>
      </c>
      <c r="C101" s="43"/>
      <c r="D101" s="12"/>
      <c r="E101" s="13">
        <f t="shared" si="0"/>
        <v>0</v>
      </c>
      <c r="F101" s="13">
        <f t="shared" si="1"/>
        <v>0</v>
      </c>
      <c r="G101" s="12"/>
      <c r="H101" s="13">
        <f t="shared" si="2"/>
        <v>0</v>
      </c>
      <c r="I101" s="12"/>
      <c r="J101" s="13">
        <f t="shared" si="3"/>
        <v>0</v>
      </c>
      <c r="K101" s="13">
        <f t="shared" si="4"/>
        <v>0</v>
      </c>
      <c r="L101" s="12"/>
      <c r="M101" s="13">
        <f t="shared" si="5"/>
        <v>0</v>
      </c>
      <c r="N101" s="13">
        <f t="shared" si="6"/>
        <v>0</v>
      </c>
      <c r="O101" s="12"/>
      <c r="P101" s="13">
        <f t="shared" si="7"/>
        <v>0</v>
      </c>
      <c r="Q101" s="13">
        <f t="shared" si="8"/>
        <v>0</v>
      </c>
      <c r="R101" s="12"/>
      <c r="S101" s="13">
        <f t="shared" si="10"/>
        <v>0</v>
      </c>
      <c r="T101" s="13">
        <f t="shared" si="11"/>
        <v>0</v>
      </c>
      <c r="U101" s="12"/>
      <c r="V101" s="13">
        <f t="shared" si="13"/>
        <v>0</v>
      </c>
      <c r="W101" s="13">
        <f t="shared" si="14"/>
        <v>0</v>
      </c>
      <c r="X101" s="12"/>
      <c r="Y101" s="13">
        <f t="shared" si="15"/>
        <v>0</v>
      </c>
      <c r="Z101" s="13">
        <f t="shared" si="16"/>
        <v>0</v>
      </c>
      <c r="AA101" s="13"/>
      <c r="AB101" s="13">
        <f t="shared" si="17"/>
        <v>0</v>
      </c>
      <c r="AC101" s="13">
        <f t="shared" si="18"/>
        <v>0</v>
      </c>
      <c r="AD101" s="13"/>
      <c r="AE101" s="13">
        <f t="shared" si="19"/>
        <v>0</v>
      </c>
      <c r="AF101" s="14">
        <f t="shared" si="20"/>
        <v>0</v>
      </c>
    </row>
    <row r="102" spans="1:32" ht="12.6" customHeight="1" x14ac:dyDescent="0.3">
      <c r="A102" s="6"/>
      <c r="B102" s="7" t="s">
        <v>209</v>
      </c>
      <c r="C102" s="7" t="s">
        <v>210</v>
      </c>
      <c r="D102" s="8">
        <v>174.78</v>
      </c>
      <c r="E102" s="8">
        <f t="shared" si="0"/>
        <v>52.433999999999997</v>
      </c>
      <c r="F102" s="8">
        <f t="shared" si="1"/>
        <v>0</v>
      </c>
      <c r="G102" s="8">
        <v>91.29</v>
      </c>
      <c r="H102" s="8">
        <f t="shared" si="2"/>
        <v>27.387</v>
      </c>
      <c r="I102" s="8">
        <v>95.94</v>
      </c>
      <c r="J102" s="8">
        <f t="shared" si="3"/>
        <v>28.781999999999996</v>
      </c>
      <c r="K102" s="8">
        <f t="shared" si="4"/>
        <v>0</v>
      </c>
      <c r="L102" s="8">
        <v>85.47</v>
      </c>
      <c r="M102" s="8">
        <f t="shared" si="5"/>
        <v>22.222200000000001</v>
      </c>
      <c r="N102" s="8">
        <f t="shared" si="6"/>
        <v>0</v>
      </c>
      <c r="O102" s="8">
        <v>84.4</v>
      </c>
      <c r="P102" s="8">
        <f t="shared" si="7"/>
        <v>25.32</v>
      </c>
      <c r="Q102" s="8">
        <f t="shared" si="8"/>
        <v>0</v>
      </c>
      <c r="R102" s="8">
        <f t="shared" ref="R102:R167" si="24">L102</f>
        <v>85.47</v>
      </c>
      <c r="S102" s="8">
        <f t="shared" si="10"/>
        <v>25.640999999999998</v>
      </c>
      <c r="T102" s="8">
        <f t="shared" si="11"/>
        <v>0</v>
      </c>
      <c r="U102" s="8">
        <f t="shared" ref="U102:U167" si="25">R102</f>
        <v>85.47</v>
      </c>
      <c r="V102" s="8">
        <f t="shared" si="13"/>
        <v>25.640999999999998</v>
      </c>
      <c r="W102" s="8">
        <f t="shared" si="14"/>
        <v>0</v>
      </c>
      <c r="X102" s="8">
        <v>158.91</v>
      </c>
      <c r="Y102" s="8">
        <f t="shared" si="15"/>
        <v>47.672999999999995</v>
      </c>
      <c r="Z102" s="8">
        <f t="shared" si="16"/>
        <v>0</v>
      </c>
      <c r="AA102" s="8">
        <v>93.98</v>
      </c>
      <c r="AB102" s="8">
        <f t="shared" si="17"/>
        <v>28.193999999999999</v>
      </c>
      <c r="AC102" s="8">
        <f t="shared" si="18"/>
        <v>0</v>
      </c>
      <c r="AD102" s="8">
        <v>101.5</v>
      </c>
      <c r="AE102" s="8">
        <f t="shared" si="19"/>
        <v>30.45</v>
      </c>
      <c r="AF102" s="9">
        <f t="shared" si="20"/>
        <v>0</v>
      </c>
    </row>
    <row r="103" spans="1:32" ht="12.6" customHeight="1" x14ac:dyDescent="0.3">
      <c r="A103" s="6"/>
      <c r="B103" s="7" t="s">
        <v>211</v>
      </c>
      <c r="C103" s="7" t="s">
        <v>212</v>
      </c>
      <c r="D103" s="8">
        <v>208.58</v>
      </c>
      <c r="E103" s="8">
        <f t="shared" si="0"/>
        <v>62.573999999999998</v>
      </c>
      <c r="F103" s="8">
        <f t="shared" si="1"/>
        <v>0</v>
      </c>
      <c r="G103" s="8">
        <v>101.58</v>
      </c>
      <c r="H103" s="8">
        <f t="shared" si="2"/>
        <v>30.473999999999997</v>
      </c>
      <c r="I103" s="8">
        <v>122.06</v>
      </c>
      <c r="J103" s="8">
        <f t="shared" si="3"/>
        <v>36.618000000000002</v>
      </c>
      <c r="K103" s="8">
        <f t="shared" si="4"/>
        <v>0</v>
      </c>
      <c r="L103" s="8">
        <v>109.23</v>
      </c>
      <c r="M103" s="8">
        <f t="shared" si="5"/>
        <v>28.399800000000003</v>
      </c>
      <c r="N103" s="8">
        <f t="shared" si="6"/>
        <v>0</v>
      </c>
      <c r="O103" s="8">
        <v>107.86</v>
      </c>
      <c r="P103" s="8">
        <f t="shared" si="7"/>
        <v>32.357999999999997</v>
      </c>
      <c r="Q103" s="8">
        <f t="shared" si="8"/>
        <v>0</v>
      </c>
      <c r="R103" s="8">
        <f t="shared" si="24"/>
        <v>109.23</v>
      </c>
      <c r="S103" s="8">
        <f t="shared" si="10"/>
        <v>32.768999999999998</v>
      </c>
      <c r="T103" s="8">
        <f t="shared" si="11"/>
        <v>0</v>
      </c>
      <c r="U103" s="8">
        <f t="shared" si="25"/>
        <v>109.23</v>
      </c>
      <c r="V103" s="8">
        <f t="shared" si="13"/>
        <v>32.768999999999998</v>
      </c>
      <c r="W103" s="8">
        <f t="shared" si="14"/>
        <v>0</v>
      </c>
      <c r="X103" s="8">
        <v>187.84</v>
      </c>
      <c r="Y103" s="8">
        <f t="shared" si="15"/>
        <v>56.351999999999997</v>
      </c>
      <c r="Z103" s="8">
        <f t="shared" si="16"/>
        <v>0</v>
      </c>
      <c r="AA103" s="8">
        <v>117.59</v>
      </c>
      <c r="AB103" s="8">
        <f t="shared" si="17"/>
        <v>35.277000000000001</v>
      </c>
      <c r="AC103" s="8">
        <f t="shared" si="18"/>
        <v>0</v>
      </c>
      <c r="AD103" s="8">
        <v>128.22</v>
      </c>
      <c r="AE103" s="8">
        <f t="shared" si="19"/>
        <v>38.466000000000001</v>
      </c>
      <c r="AF103" s="9">
        <f t="shared" si="20"/>
        <v>0</v>
      </c>
    </row>
    <row r="104" spans="1:32" ht="12.6" customHeight="1" x14ac:dyDescent="0.3">
      <c r="A104" s="6"/>
      <c r="B104" s="7" t="s">
        <v>213</v>
      </c>
      <c r="C104" s="7" t="s">
        <v>214</v>
      </c>
      <c r="D104" s="8">
        <v>240.74</v>
      </c>
      <c r="E104" s="8">
        <f t="shared" si="0"/>
        <v>72.221999999999994</v>
      </c>
      <c r="F104" s="8">
        <f t="shared" si="1"/>
        <v>0</v>
      </c>
      <c r="G104" s="8">
        <v>128.75</v>
      </c>
      <c r="H104" s="8">
        <f t="shared" si="2"/>
        <v>38.625</v>
      </c>
      <c r="I104" s="8">
        <v>129.21</v>
      </c>
      <c r="J104" s="8">
        <f t="shared" si="3"/>
        <v>38.762999999999998</v>
      </c>
      <c r="K104" s="8">
        <f t="shared" si="4"/>
        <v>0</v>
      </c>
      <c r="L104" s="8">
        <v>114.54</v>
      </c>
      <c r="M104" s="8">
        <f t="shared" si="5"/>
        <v>29.780400000000004</v>
      </c>
      <c r="N104" s="8">
        <f t="shared" si="6"/>
        <v>0</v>
      </c>
      <c r="O104" s="8">
        <v>113.06</v>
      </c>
      <c r="P104" s="8">
        <f t="shared" si="7"/>
        <v>33.917999999999999</v>
      </c>
      <c r="Q104" s="8">
        <f t="shared" si="8"/>
        <v>0</v>
      </c>
      <c r="R104" s="8">
        <f t="shared" si="24"/>
        <v>114.54</v>
      </c>
      <c r="S104" s="8">
        <f t="shared" si="10"/>
        <v>34.362000000000002</v>
      </c>
      <c r="T104" s="8">
        <f t="shared" si="11"/>
        <v>0</v>
      </c>
      <c r="U104" s="8">
        <f t="shared" si="25"/>
        <v>114.54</v>
      </c>
      <c r="V104" s="8">
        <f t="shared" si="13"/>
        <v>34.362000000000002</v>
      </c>
      <c r="W104" s="8">
        <f t="shared" si="14"/>
        <v>0</v>
      </c>
      <c r="X104" s="8">
        <v>216.97</v>
      </c>
      <c r="Y104" s="8">
        <f t="shared" si="15"/>
        <v>65.090999999999994</v>
      </c>
      <c r="Z104" s="8">
        <f t="shared" si="16"/>
        <v>0</v>
      </c>
      <c r="AA104" s="8">
        <v>125.08</v>
      </c>
      <c r="AB104" s="8">
        <f t="shared" si="17"/>
        <v>37.524000000000001</v>
      </c>
      <c r="AC104" s="8">
        <f t="shared" si="18"/>
        <v>0</v>
      </c>
      <c r="AD104" s="8">
        <v>136.28</v>
      </c>
      <c r="AE104" s="8">
        <f t="shared" si="19"/>
        <v>40.884</v>
      </c>
      <c r="AF104" s="9">
        <f t="shared" si="20"/>
        <v>0</v>
      </c>
    </row>
    <row r="105" spans="1:32" ht="12.6" customHeight="1" x14ac:dyDescent="0.3">
      <c r="A105" s="6"/>
      <c r="B105" s="7" t="s">
        <v>215</v>
      </c>
      <c r="C105" s="7" t="s">
        <v>216</v>
      </c>
      <c r="D105" s="8">
        <v>201.38</v>
      </c>
      <c r="E105" s="8">
        <f t="shared" si="0"/>
        <v>60.413999999999994</v>
      </c>
      <c r="F105" s="8">
        <f t="shared" si="1"/>
        <v>0</v>
      </c>
      <c r="G105" s="8">
        <v>107.4</v>
      </c>
      <c r="H105" s="8">
        <f t="shared" si="2"/>
        <v>32.22</v>
      </c>
      <c r="I105" s="8">
        <v>108.84</v>
      </c>
      <c r="J105" s="8">
        <f t="shared" si="3"/>
        <v>32.652000000000001</v>
      </c>
      <c r="K105" s="8">
        <f t="shared" si="4"/>
        <v>0</v>
      </c>
      <c r="L105" s="8">
        <v>96.27</v>
      </c>
      <c r="M105" s="8">
        <f t="shared" si="5"/>
        <v>25.030200000000001</v>
      </c>
      <c r="N105" s="8">
        <f t="shared" si="6"/>
        <v>0</v>
      </c>
      <c r="O105" s="8">
        <v>95.04</v>
      </c>
      <c r="P105" s="8">
        <f t="shared" si="7"/>
        <v>28.512</v>
      </c>
      <c r="Q105" s="8">
        <f t="shared" si="8"/>
        <v>0</v>
      </c>
      <c r="R105" s="8">
        <f t="shared" si="24"/>
        <v>96.27</v>
      </c>
      <c r="S105" s="8">
        <f t="shared" si="10"/>
        <v>28.880999999999997</v>
      </c>
      <c r="T105" s="8">
        <f t="shared" si="11"/>
        <v>0</v>
      </c>
      <c r="U105" s="8">
        <f t="shared" si="25"/>
        <v>96.27</v>
      </c>
      <c r="V105" s="8">
        <f t="shared" si="13"/>
        <v>28.880999999999997</v>
      </c>
      <c r="W105" s="8">
        <f t="shared" si="14"/>
        <v>0</v>
      </c>
      <c r="X105" s="8">
        <v>186.84</v>
      </c>
      <c r="Y105" s="8">
        <f t="shared" si="15"/>
        <v>56.052</v>
      </c>
      <c r="Z105" s="8">
        <f t="shared" si="16"/>
        <v>0</v>
      </c>
      <c r="AA105" s="8">
        <v>106.1</v>
      </c>
      <c r="AB105" s="8">
        <f t="shared" si="17"/>
        <v>31.83</v>
      </c>
      <c r="AC105" s="8">
        <f t="shared" si="18"/>
        <v>0</v>
      </c>
      <c r="AD105" s="8">
        <v>114.61</v>
      </c>
      <c r="AE105" s="8">
        <f t="shared" si="19"/>
        <v>34.382999999999996</v>
      </c>
      <c r="AF105" s="9">
        <f t="shared" si="20"/>
        <v>0</v>
      </c>
    </row>
    <row r="106" spans="1:32" ht="12.6" customHeight="1" x14ac:dyDescent="0.3">
      <c r="A106" s="6"/>
      <c r="B106" s="7" t="s">
        <v>217</v>
      </c>
      <c r="C106" s="7" t="s">
        <v>218</v>
      </c>
      <c r="D106" s="8">
        <v>249.45</v>
      </c>
      <c r="E106" s="8">
        <f t="shared" si="0"/>
        <v>74.834999999999994</v>
      </c>
      <c r="F106" s="8">
        <f t="shared" si="1"/>
        <v>0</v>
      </c>
      <c r="G106" s="8">
        <v>115.65</v>
      </c>
      <c r="H106" s="8">
        <f t="shared" si="2"/>
        <v>34.695</v>
      </c>
      <c r="I106" s="8">
        <v>151.41</v>
      </c>
      <c r="J106" s="8">
        <f t="shared" si="3"/>
        <v>45.422999999999995</v>
      </c>
      <c r="K106" s="8">
        <f t="shared" si="4"/>
        <v>0</v>
      </c>
      <c r="L106" s="8">
        <v>136.54</v>
      </c>
      <c r="M106" s="8">
        <f t="shared" si="5"/>
        <v>35.500399999999999</v>
      </c>
      <c r="N106" s="8">
        <f t="shared" si="6"/>
        <v>0</v>
      </c>
      <c r="O106" s="8">
        <v>134.80000000000001</v>
      </c>
      <c r="P106" s="8">
        <f t="shared" si="7"/>
        <v>40.440000000000005</v>
      </c>
      <c r="Q106" s="8">
        <f t="shared" si="8"/>
        <v>0</v>
      </c>
      <c r="R106" s="8">
        <f t="shared" si="24"/>
        <v>136.54</v>
      </c>
      <c r="S106" s="8">
        <f t="shared" si="10"/>
        <v>40.961999999999996</v>
      </c>
      <c r="T106" s="8">
        <f t="shared" si="11"/>
        <v>0</v>
      </c>
      <c r="U106" s="8">
        <f t="shared" si="25"/>
        <v>136.54</v>
      </c>
      <c r="V106" s="8">
        <f t="shared" si="13"/>
        <v>40.961999999999996</v>
      </c>
      <c r="W106" s="8">
        <f t="shared" si="14"/>
        <v>0</v>
      </c>
      <c r="X106" s="8">
        <v>219.72</v>
      </c>
      <c r="Y106" s="8">
        <f t="shared" si="15"/>
        <v>65.915999999999997</v>
      </c>
      <c r="Z106" s="8">
        <f t="shared" si="16"/>
        <v>0</v>
      </c>
      <c r="AA106" s="8">
        <v>145.19</v>
      </c>
      <c r="AB106" s="8">
        <f t="shared" si="17"/>
        <v>43.556999999999995</v>
      </c>
      <c r="AC106" s="8">
        <f t="shared" si="18"/>
        <v>0</v>
      </c>
      <c r="AD106" s="8">
        <v>159.01</v>
      </c>
      <c r="AE106" s="8">
        <f t="shared" si="19"/>
        <v>47.702999999999996</v>
      </c>
      <c r="AF106" s="9">
        <f t="shared" si="20"/>
        <v>0</v>
      </c>
    </row>
    <row r="107" spans="1:32" ht="12.6" customHeight="1" x14ac:dyDescent="0.3">
      <c r="A107" s="6"/>
      <c r="B107" s="7" t="s">
        <v>219</v>
      </c>
      <c r="C107" s="7" t="s">
        <v>220</v>
      </c>
      <c r="D107" s="8">
        <v>282.64</v>
      </c>
      <c r="E107" s="8">
        <f t="shared" si="0"/>
        <v>84.791999999999987</v>
      </c>
      <c r="F107" s="8">
        <f t="shared" si="1"/>
        <v>0</v>
      </c>
      <c r="G107" s="8">
        <v>146.30000000000001</v>
      </c>
      <c r="H107" s="8">
        <f t="shared" si="2"/>
        <v>43.89</v>
      </c>
      <c r="I107" s="8">
        <v>156.85</v>
      </c>
      <c r="J107" s="8">
        <f t="shared" si="3"/>
        <v>47.055</v>
      </c>
      <c r="K107" s="8">
        <f t="shared" si="4"/>
        <v>0</v>
      </c>
      <c r="L107" s="8">
        <v>139.63</v>
      </c>
      <c r="M107" s="8">
        <f t="shared" si="5"/>
        <v>36.303800000000003</v>
      </c>
      <c r="N107" s="8">
        <f t="shared" si="6"/>
        <v>0</v>
      </c>
      <c r="O107" s="8">
        <v>137.80000000000001</v>
      </c>
      <c r="P107" s="8">
        <f t="shared" si="7"/>
        <v>41.34</v>
      </c>
      <c r="Q107" s="8">
        <f t="shared" si="8"/>
        <v>0</v>
      </c>
      <c r="R107" s="8">
        <f t="shared" si="24"/>
        <v>139.63</v>
      </c>
      <c r="S107" s="8">
        <f t="shared" si="10"/>
        <v>41.888999999999996</v>
      </c>
      <c r="T107" s="8">
        <f t="shared" si="11"/>
        <v>0</v>
      </c>
      <c r="U107" s="8">
        <f t="shared" si="25"/>
        <v>139.63</v>
      </c>
      <c r="V107" s="8">
        <f t="shared" si="13"/>
        <v>41.888999999999996</v>
      </c>
      <c r="W107" s="8">
        <f t="shared" si="14"/>
        <v>0</v>
      </c>
      <c r="X107" s="8">
        <v>252.82</v>
      </c>
      <c r="Y107" s="8">
        <f t="shared" si="15"/>
        <v>75.845999999999989</v>
      </c>
      <c r="Z107" s="8">
        <f t="shared" si="16"/>
        <v>0</v>
      </c>
      <c r="AA107" s="8">
        <v>147.96</v>
      </c>
      <c r="AB107" s="8">
        <f t="shared" si="17"/>
        <v>44.387999999999998</v>
      </c>
      <c r="AC107" s="8">
        <f t="shared" si="18"/>
        <v>0</v>
      </c>
      <c r="AD107" s="8">
        <v>165.29</v>
      </c>
      <c r="AE107" s="8">
        <f t="shared" si="19"/>
        <v>49.586999999999996</v>
      </c>
      <c r="AF107" s="9">
        <f t="shared" si="20"/>
        <v>0</v>
      </c>
    </row>
    <row r="108" spans="1:32" ht="12.6" customHeight="1" x14ac:dyDescent="0.3">
      <c r="A108" s="6"/>
      <c r="B108" s="7" t="s">
        <v>221</v>
      </c>
      <c r="C108" s="7" t="s">
        <v>222</v>
      </c>
      <c r="D108" s="8">
        <v>227.37</v>
      </c>
      <c r="E108" s="8">
        <f t="shared" si="0"/>
        <v>68.210999999999999</v>
      </c>
      <c r="F108" s="8">
        <f t="shared" si="1"/>
        <v>0</v>
      </c>
      <c r="G108" s="8">
        <v>120.82</v>
      </c>
      <c r="H108" s="8">
        <f t="shared" si="2"/>
        <v>36.245999999999995</v>
      </c>
      <c r="I108" s="8">
        <v>123.19</v>
      </c>
      <c r="J108" s="8">
        <f t="shared" si="3"/>
        <v>36.957000000000001</v>
      </c>
      <c r="K108" s="8">
        <f t="shared" si="4"/>
        <v>0</v>
      </c>
      <c r="L108" s="8">
        <v>109.04</v>
      </c>
      <c r="M108" s="8">
        <f t="shared" si="5"/>
        <v>28.350400000000004</v>
      </c>
      <c r="N108" s="8">
        <f t="shared" si="6"/>
        <v>0</v>
      </c>
      <c r="O108" s="8">
        <v>107.64</v>
      </c>
      <c r="P108" s="8">
        <f t="shared" si="7"/>
        <v>32.292000000000002</v>
      </c>
      <c r="Q108" s="8">
        <f t="shared" si="8"/>
        <v>0</v>
      </c>
      <c r="R108" s="8">
        <f t="shared" si="24"/>
        <v>109.04</v>
      </c>
      <c r="S108" s="8">
        <f t="shared" si="10"/>
        <v>32.712000000000003</v>
      </c>
      <c r="T108" s="8">
        <f t="shared" si="11"/>
        <v>0</v>
      </c>
      <c r="U108" s="8">
        <f t="shared" si="25"/>
        <v>109.04</v>
      </c>
      <c r="V108" s="8">
        <f t="shared" si="13"/>
        <v>32.712000000000003</v>
      </c>
      <c r="W108" s="8">
        <f t="shared" si="14"/>
        <v>0</v>
      </c>
      <c r="X108" s="8">
        <v>214.77</v>
      </c>
      <c r="Y108" s="8">
        <f t="shared" si="15"/>
        <v>64.430999999999997</v>
      </c>
      <c r="Z108" s="8">
        <f t="shared" si="16"/>
        <v>0</v>
      </c>
      <c r="AA108" s="8">
        <v>119.3</v>
      </c>
      <c r="AB108" s="8">
        <f t="shared" si="17"/>
        <v>35.79</v>
      </c>
      <c r="AC108" s="8">
        <f t="shared" si="18"/>
        <v>0</v>
      </c>
      <c r="AD108" s="8">
        <v>130</v>
      </c>
      <c r="AE108" s="8">
        <f t="shared" si="19"/>
        <v>39</v>
      </c>
      <c r="AF108" s="9">
        <f t="shared" si="20"/>
        <v>0</v>
      </c>
    </row>
    <row r="109" spans="1:32" ht="12.6" customHeight="1" x14ac:dyDescent="0.3">
      <c r="A109" s="6"/>
      <c r="B109" s="7" t="s">
        <v>223</v>
      </c>
      <c r="C109" s="7" t="s">
        <v>224</v>
      </c>
      <c r="D109" s="8">
        <v>270.01</v>
      </c>
      <c r="E109" s="8">
        <f t="shared" si="0"/>
        <v>81.003</v>
      </c>
      <c r="F109" s="8">
        <f t="shared" si="1"/>
        <v>0</v>
      </c>
      <c r="G109" s="8">
        <v>129.08000000000001</v>
      </c>
      <c r="H109" s="8">
        <f t="shared" si="2"/>
        <v>38.724000000000004</v>
      </c>
      <c r="I109" s="8">
        <v>160.06</v>
      </c>
      <c r="J109" s="8">
        <f t="shared" si="3"/>
        <v>48.018000000000001</v>
      </c>
      <c r="K109" s="8">
        <f t="shared" si="4"/>
        <v>0</v>
      </c>
      <c r="L109" s="8">
        <v>143.74</v>
      </c>
      <c r="M109" s="8">
        <f t="shared" si="5"/>
        <v>37.372400000000006</v>
      </c>
      <c r="N109" s="8">
        <f t="shared" si="6"/>
        <v>0</v>
      </c>
      <c r="O109" s="8">
        <v>141.88999999999999</v>
      </c>
      <c r="P109" s="8">
        <f t="shared" si="7"/>
        <v>42.566999999999993</v>
      </c>
      <c r="Q109" s="8">
        <f t="shared" si="8"/>
        <v>0</v>
      </c>
      <c r="R109" s="8">
        <f t="shared" si="24"/>
        <v>143.74</v>
      </c>
      <c r="S109" s="8">
        <f t="shared" si="10"/>
        <v>43.122</v>
      </c>
      <c r="T109" s="8">
        <f t="shared" si="11"/>
        <v>0</v>
      </c>
      <c r="U109" s="8">
        <f t="shared" si="25"/>
        <v>143.74</v>
      </c>
      <c r="V109" s="8">
        <f t="shared" si="13"/>
        <v>43.122</v>
      </c>
      <c r="W109" s="8">
        <f t="shared" si="14"/>
        <v>0</v>
      </c>
      <c r="X109" s="8">
        <v>251.59</v>
      </c>
      <c r="Y109" s="8">
        <f t="shared" si="15"/>
        <v>75.477000000000004</v>
      </c>
      <c r="Z109" s="8">
        <f t="shared" si="16"/>
        <v>0</v>
      </c>
      <c r="AA109" s="8">
        <v>154.18</v>
      </c>
      <c r="AB109" s="8">
        <f t="shared" si="17"/>
        <v>46.253999999999998</v>
      </c>
      <c r="AC109" s="8">
        <f t="shared" si="18"/>
        <v>0</v>
      </c>
      <c r="AD109" s="8">
        <v>168.57</v>
      </c>
      <c r="AE109" s="8">
        <f t="shared" si="19"/>
        <v>50.570999999999998</v>
      </c>
      <c r="AF109" s="9">
        <f t="shared" si="20"/>
        <v>0</v>
      </c>
    </row>
    <row r="110" spans="1:32" ht="12.6" customHeight="1" x14ac:dyDescent="0.3">
      <c r="A110" s="6"/>
      <c r="B110" s="7" t="s">
        <v>225</v>
      </c>
      <c r="C110" s="7" t="s">
        <v>226</v>
      </c>
      <c r="D110" s="8">
        <v>316.31</v>
      </c>
      <c r="E110" s="8">
        <f t="shared" si="0"/>
        <v>94.893000000000001</v>
      </c>
      <c r="F110" s="8">
        <f t="shared" si="1"/>
        <v>0</v>
      </c>
      <c r="G110" s="8">
        <v>157.69</v>
      </c>
      <c r="H110" s="8">
        <f t="shared" si="2"/>
        <v>47.306999999999995</v>
      </c>
      <c r="I110" s="8">
        <v>174.53</v>
      </c>
      <c r="J110" s="8">
        <f t="shared" si="3"/>
        <v>52.359000000000002</v>
      </c>
      <c r="K110" s="8">
        <f t="shared" si="4"/>
        <v>0</v>
      </c>
      <c r="L110" s="8">
        <v>162.08000000000001</v>
      </c>
      <c r="M110" s="8">
        <f t="shared" si="5"/>
        <v>42.140800000000006</v>
      </c>
      <c r="N110" s="8">
        <f t="shared" si="6"/>
        <v>0</v>
      </c>
      <c r="O110" s="8">
        <v>159.99</v>
      </c>
      <c r="P110" s="8">
        <f t="shared" si="7"/>
        <v>47.997</v>
      </c>
      <c r="Q110" s="8">
        <f t="shared" si="8"/>
        <v>0</v>
      </c>
      <c r="R110" s="8">
        <f t="shared" si="24"/>
        <v>162.08000000000001</v>
      </c>
      <c r="S110" s="8">
        <f t="shared" si="10"/>
        <v>48.624000000000002</v>
      </c>
      <c r="T110" s="8">
        <f t="shared" si="11"/>
        <v>0</v>
      </c>
      <c r="U110" s="8">
        <f t="shared" si="25"/>
        <v>162.08000000000001</v>
      </c>
      <c r="V110" s="8">
        <f t="shared" si="13"/>
        <v>48.624000000000002</v>
      </c>
      <c r="W110" s="8">
        <f t="shared" si="14"/>
        <v>0</v>
      </c>
      <c r="X110" s="8">
        <v>288.64999999999998</v>
      </c>
      <c r="Y110" s="8">
        <f t="shared" si="15"/>
        <v>86.594999999999985</v>
      </c>
      <c r="Z110" s="8">
        <f t="shared" si="16"/>
        <v>0</v>
      </c>
      <c r="AA110" s="8">
        <v>167.09</v>
      </c>
      <c r="AB110" s="8">
        <f t="shared" si="17"/>
        <v>50.127000000000002</v>
      </c>
      <c r="AC110" s="8">
        <f t="shared" si="18"/>
        <v>0</v>
      </c>
      <c r="AD110" s="8">
        <v>190.24</v>
      </c>
      <c r="AE110" s="8">
        <f t="shared" si="19"/>
        <v>57.072000000000003</v>
      </c>
      <c r="AF110" s="9">
        <f t="shared" si="20"/>
        <v>0</v>
      </c>
    </row>
    <row r="111" spans="1:32" ht="12.6" customHeight="1" x14ac:dyDescent="0.3">
      <c r="A111" s="6"/>
      <c r="B111" s="7" t="s">
        <v>227</v>
      </c>
      <c r="C111" s="7" t="s">
        <v>228</v>
      </c>
      <c r="D111" s="8">
        <v>253.31</v>
      </c>
      <c r="E111" s="8">
        <f t="shared" si="0"/>
        <v>75.992999999999995</v>
      </c>
      <c r="F111" s="8">
        <f t="shared" si="1"/>
        <v>0</v>
      </c>
      <c r="G111" s="8">
        <v>134.19</v>
      </c>
      <c r="H111" s="8">
        <f t="shared" si="2"/>
        <v>40.256999999999998</v>
      </c>
      <c r="I111" s="8">
        <v>137.69999999999999</v>
      </c>
      <c r="J111" s="8">
        <f t="shared" si="3"/>
        <v>41.309999999999995</v>
      </c>
      <c r="K111" s="8">
        <f t="shared" si="4"/>
        <v>0</v>
      </c>
      <c r="L111" s="8">
        <v>122.13</v>
      </c>
      <c r="M111" s="8">
        <f t="shared" si="5"/>
        <v>31.753799999999998</v>
      </c>
      <c r="N111" s="8">
        <f t="shared" si="6"/>
        <v>0</v>
      </c>
      <c r="O111" s="8">
        <v>120.55</v>
      </c>
      <c r="P111" s="8">
        <f t="shared" si="7"/>
        <v>36.164999999999999</v>
      </c>
      <c r="Q111" s="8">
        <f t="shared" si="8"/>
        <v>0</v>
      </c>
      <c r="R111" s="8">
        <f t="shared" si="24"/>
        <v>122.13</v>
      </c>
      <c r="S111" s="8">
        <f t="shared" si="10"/>
        <v>36.638999999999996</v>
      </c>
      <c r="T111" s="8">
        <f t="shared" si="11"/>
        <v>0</v>
      </c>
      <c r="U111" s="8">
        <f t="shared" si="25"/>
        <v>122.13</v>
      </c>
      <c r="V111" s="8">
        <f t="shared" si="13"/>
        <v>36.638999999999996</v>
      </c>
      <c r="W111" s="8">
        <f t="shared" si="14"/>
        <v>0</v>
      </c>
      <c r="X111" s="8">
        <v>242.7</v>
      </c>
      <c r="Y111" s="8">
        <f t="shared" si="15"/>
        <v>72.809999999999988</v>
      </c>
      <c r="Z111" s="8">
        <f t="shared" si="16"/>
        <v>0</v>
      </c>
      <c r="AA111" s="8">
        <v>132.63999999999999</v>
      </c>
      <c r="AB111" s="8">
        <f t="shared" si="17"/>
        <v>39.791999999999994</v>
      </c>
      <c r="AC111" s="8">
        <f t="shared" si="18"/>
        <v>0</v>
      </c>
      <c r="AD111" s="8">
        <v>145.25</v>
      </c>
      <c r="AE111" s="8">
        <f t="shared" si="19"/>
        <v>43.574999999999996</v>
      </c>
      <c r="AF111" s="9">
        <f t="shared" si="20"/>
        <v>0</v>
      </c>
    </row>
    <row r="112" spans="1:32" ht="12.6" customHeight="1" x14ac:dyDescent="0.3">
      <c r="A112" s="6"/>
      <c r="B112" s="7" t="s">
        <v>229</v>
      </c>
      <c r="C112" s="7" t="s">
        <v>230</v>
      </c>
      <c r="D112" s="8">
        <v>311.73</v>
      </c>
      <c r="E112" s="8">
        <f t="shared" si="0"/>
        <v>93.519000000000005</v>
      </c>
      <c r="F112" s="8">
        <f t="shared" si="1"/>
        <v>0</v>
      </c>
      <c r="G112" s="8">
        <v>142.9</v>
      </c>
      <c r="H112" s="8">
        <f t="shared" si="2"/>
        <v>42.87</v>
      </c>
      <c r="I112" s="8">
        <v>191.36</v>
      </c>
      <c r="J112" s="8">
        <f t="shared" si="3"/>
        <v>57.408000000000001</v>
      </c>
      <c r="K112" s="8">
        <f t="shared" si="4"/>
        <v>0</v>
      </c>
      <c r="L112" s="8">
        <v>172.24</v>
      </c>
      <c r="M112" s="8">
        <f t="shared" si="5"/>
        <v>44.782400000000003</v>
      </c>
      <c r="N112" s="8">
        <f t="shared" si="6"/>
        <v>0</v>
      </c>
      <c r="O112" s="8">
        <v>169.99</v>
      </c>
      <c r="P112" s="8">
        <f t="shared" si="7"/>
        <v>50.997</v>
      </c>
      <c r="Q112" s="8">
        <f t="shared" si="8"/>
        <v>0</v>
      </c>
      <c r="R112" s="8">
        <f t="shared" si="24"/>
        <v>172.24</v>
      </c>
      <c r="S112" s="8">
        <f t="shared" si="10"/>
        <v>51.672000000000004</v>
      </c>
      <c r="T112" s="8">
        <f t="shared" si="11"/>
        <v>0</v>
      </c>
      <c r="U112" s="8">
        <f t="shared" si="25"/>
        <v>172.24</v>
      </c>
      <c r="V112" s="8">
        <f t="shared" si="13"/>
        <v>51.672000000000004</v>
      </c>
      <c r="W112" s="8">
        <f t="shared" si="14"/>
        <v>0</v>
      </c>
      <c r="X112" s="8">
        <v>283.47000000000003</v>
      </c>
      <c r="Y112" s="8">
        <f t="shared" si="15"/>
        <v>85.041000000000011</v>
      </c>
      <c r="Z112" s="8">
        <f t="shared" si="16"/>
        <v>0</v>
      </c>
      <c r="AA112" s="8">
        <v>184.99</v>
      </c>
      <c r="AB112" s="8">
        <f t="shared" si="17"/>
        <v>55.497</v>
      </c>
      <c r="AC112" s="8">
        <f t="shared" si="18"/>
        <v>0</v>
      </c>
      <c r="AD112" s="8">
        <v>201.05</v>
      </c>
      <c r="AE112" s="8">
        <f t="shared" si="19"/>
        <v>60.314999999999998</v>
      </c>
      <c r="AF112" s="9">
        <f t="shared" si="20"/>
        <v>0</v>
      </c>
    </row>
    <row r="113" spans="1:32" ht="12.6" customHeight="1" x14ac:dyDescent="0.3">
      <c r="A113" s="6"/>
      <c r="B113" s="7" t="s">
        <v>231</v>
      </c>
      <c r="C113" s="7" t="s">
        <v>232</v>
      </c>
      <c r="D113" s="8">
        <v>343.16</v>
      </c>
      <c r="E113" s="8">
        <f t="shared" si="0"/>
        <v>102.94800000000001</v>
      </c>
      <c r="F113" s="8">
        <f t="shared" si="1"/>
        <v>0</v>
      </c>
      <c r="G113" s="8">
        <v>174.46</v>
      </c>
      <c r="H113" s="8">
        <f t="shared" si="2"/>
        <v>52.338000000000001</v>
      </c>
      <c r="I113" s="8">
        <v>193.71</v>
      </c>
      <c r="J113" s="8">
        <f t="shared" si="3"/>
        <v>58.113</v>
      </c>
      <c r="K113" s="8">
        <f t="shared" si="4"/>
        <v>0</v>
      </c>
      <c r="L113" s="8">
        <v>172.43</v>
      </c>
      <c r="M113" s="8">
        <f t="shared" si="5"/>
        <v>44.831800000000001</v>
      </c>
      <c r="N113" s="8">
        <f t="shared" si="6"/>
        <v>0</v>
      </c>
      <c r="O113" s="8">
        <v>170.21</v>
      </c>
      <c r="P113" s="8">
        <f t="shared" si="7"/>
        <v>51.063000000000002</v>
      </c>
      <c r="Q113" s="8">
        <f t="shared" si="8"/>
        <v>0</v>
      </c>
      <c r="R113" s="8">
        <f t="shared" si="24"/>
        <v>172.43</v>
      </c>
      <c r="S113" s="8">
        <f t="shared" si="10"/>
        <v>51.728999999999999</v>
      </c>
      <c r="T113" s="8">
        <f t="shared" si="11"/>
        <v>0</v>
      </c>
      <c r="U113" s="8">
        <f t="shared" si="25"/>
        <v>172.43</v>
      </c>
      <c r="V113" s="8">
        <f t="shared" si="13"/>
        <v>51.728999999999999</v>
      </c>
      <c r="W113" s="8">
        <f t="shared" si="14"/>
        <v>0</v>
      </c>
      <c r="X113" s="8">
        <v>324.49</v>
      </c>
      <c r="Y113" s="8">
        <f t="shared" si="15"/>
        <v>97.346999999999994</v>
      </c>
      <c r="Z113" s="8">
        <f t="shared" si="16"/>
        <v>0</v>
      </c>
      <c r="AA113" s="8">
        <v>187.22</v>
      </c>
      <c r="AB113" s="8">
        <f t="shared" si="17"/>
        <v>56.165999999999997</v>
      </c>
      <c r="AC113" s="8">
        <f t="shared" si="18"/>
        <v>0</v>
      </c>
      <c r="AD113" s="8">
        <v>204.26</v>
      </c>
      <c r="AE113" s="8">
        <f t="shared" si="19"/>
        <v>61.277999999999992</v>
      </c>
      <c r="AF113" s="9">
        <f t="shared" si="20"/>
        <v>0</v>
      </c>
    </row>
    <row r="114" spans="1:32" ht="12.6" customHeight="1" x14ac:dyDescent="0.3">
      <c r="A114" s="6"/>
      <c r="B114" s="7" t="s">
        <v>233</v>
      </c>
      <c r="C114" s="7" t="s">
        <v>234</v>
      </c>
      <c r="D114" s="8">
        <v>279.43</v>
      </c>
      <c r="E114" s="8">
        <f t="shared" si="0"/>
        <v>83.828999999999994</v>
      </c>
      <c r="F114" s="8">
        <f t="shared" si="1"/>
        <v>0</v>
      </c>
      <c r="G114" s="8">
        <v>147.61000000000001</v>
      </c>
      <c r="H114" s="8">
        <f t="shared" si="2"/>
        <v>44.283000000000001</v>
      </c>
      <c r="I114" s="8">
        <v>151.62</v>
      </c>
      <c r="J114" s="8">
        <f t="shared" si="3"/>
        <v>45.485999999999997</v>
      </c>
      <c r="K114" s="8">
        <f t="shared" si="4"/>
        <v>0</v>
      </c>
      <c r="L114" s="8">
        <v>135.11000000000001</v>
      </c>
      <c r="M114" s="8">
        <f t="shared" si="5"/>
        <v>35.128600000000006</v>
      </c>
      <c r="N114" s="8">
        <f t="shared" si="6"/>
        <v>0</v>
      </c>
      <c r="O114" s="8">
        <v>133.38</v>
      </c>
      <c r="P114" s="8">
        <f t="shared" si="7"/>
        <v>40.013999999999996</v>
      </c>
      <c r="Q114" s="8">
        <f t="shared" si="8"/>
        <v>0</v>
      </c>
      <c r="R114" s="8">
        <f t="shared" si="24"/>
        <v>135.11000000000001</v>
      </c>
      <c r="S114" s="8">
        <f t="shared" si="10"/>
        <v>40.533000000000001</v>
      </c>
      <c r="T114" s="8">
        <f t="shared" si="11"/>
        <v>0</v>
      </c>
      <c r="U114" s="8">
        <f t="shared" si="25"/>
        <v>135.11000000000001</v>
      </c>
      <c r="V114" s="8">
        <f t="shared" si="13"/>
        <v>40.533000000000001</v>
      </c>
      <c r="W114" s="8">
        <f t="shared" si="14"/>
        <v>0</v>
      </c>
      <c r="X114" s="8">
        <v>270.63</v>
      </c>
      <c r="Y114" s="8">
        <f t="shared" si="15"/>
        <v>81.188999999999993</v>
      </c>
      <c r="Z114" s="8">
        <f t="shared" si="16"/>
        <v>0</v>
      </c>
      <c r="AA114" s="8">
        <v>146.06</v>
      </c>
      <c r="AB114" s="8">
        <f t="shared" si="17"/>
        <v>43.817999999999998</v>
      </c>
      <c r="AC114" s="8">
        <f t="shared" si="18"/>
        <v>0</v>
      </c>
      <c r="AD114" s="8">
        <v>160.57</v>
      </c>
      <c r="AE114" s="8">
        <f t="shared" si="19"/>
        <v>48.170999999999999</v>
      </c>
      <c r="AF114" s="9">
        <f t="shared" si="20"/>
        <v>0</v>
      </c>
    </row>
    <row r="115" spans="1:32" ht="12.6" customHeight="1" x14ac:dyDescent="0.3">
      <c r="A115" s="6"/>
      <c r="B115" s="7" t="s">
        <v>235</v>
      </c>
      <c r="C115" s="7" t="s">
        <v>236</v>
      </c>
      <c r="D115" s="8">
        <v>342.63</v>
      </c>
      <c r="E115" s="8">
        <f t="shared" si="0"/>
        <v>102.789</v>
      </c>
      <c r="F115" s="8">
        <f t="shared" si="1"/>
        <v>0</v>
      </c>
      <c r="G115" s="8">
        <v>156.58000000000001</v>
      </c>
      <c r="H115" s="8">
        <f t="shared" si="2"/>
        <v>46.974000000000004</v>
      </c>
      <c r="I115" s="8">
        <v>210.86</v>
      </c>
      <c r="J115" s="8">
        <f t="shared" si="3"/>
        <v>63.258000000000003</v>
      </c>
      <c r="K115" s="8">
        <f t="shared" si="4"/>
        <v>0</v>
      </c>
      <c r="L115" s="8">
        <v>190.05</v>
      </c>
      <c r="M115" s="8">
        <f t="shared" si="5"/>
        <v>49.413000000000004</v>
      </c>
      <c r="N115" s="8">
        <f t="shared" si="6"/>
        <v>0</v>
      </c>
      <c r="O115" s="8">
        <v>187.6</v>
      </c>
      <c r="P115" s="8">
        <f t="shared" si="7"/>
        <v>56.279999999999994</v>
      </c>
      <c r="Q115" s="8">
        <f t="shared" si="8"/>
        <v>0</v>
      </c>
      <c r="R115" s="8">
        <f t="shared" si="24"/>
        <v>190.05</v>
      </c>
      <c r="S115" s="8">
        <f t="shared" si="10"/>
        <v>57.015000000000001</v>
      </c>
      <c r="T115" s="8">
        <f t="shared" si="11"/>
        <v>0</v>
      </c>
      <c r="U115" s="8">
        <f t="shared" si="25"/>
        <v>190.05</v>
      </c>
      <c r="V115" s="8">
        <f t="shared" si="13"/>
        <v>57.015000000000001</v>
      </c>
      <c r="W115" s="8">
        <f t="shared" si="14"/>
        <v>0</v>
      </c>
      <c r="X115" s="8">
        <v>315.33999999999997</v>
      </c>
      <c r="Y115" s="8">
        <f t="shared" si="15"/>
        <v>94.60199999999999</v>
      </c>
      <c r="Z115" s="8">
        <f t="shared" si="16"/>
        <v>0</v>
      </c>
      <c r="AA115" s="8">
        <v>203.13</v>
      </c>
      <c r="AB115" s="8">
        <f t="shared" si="17"/>
        <v>60.938999999999993</v>
      </c>
      <c r="AC115" s="8">
        <f t="shared" si="18"/>
        <v>0</v>
      </c>
      <c r="AD115" s="8">
        <v>221.15</v>
      </c>
      <c r="AE115" s="8">
        <f t="shared" si="19"/>
        <v>66.344999999999999</v>
      </c>
      <c r="AF115" s="9">
        <f t="shared" si="20"/>
        <v>0</v>
      </c>
    </row>
    <row r="116" spans="1:32" ht="12.6" customHeight="1" x14ac:dyDescent="0.3">
      <c r="A116" s="6"/>
      <c r="B116" s="7" t="s">
        <v>237</v>
      </c>
      <c r="C116" s="7" t="s">
        <v>238</v>
      </c>
      <c r="D116" s="8">
        <v>375.32</v>
      </c>
      <c r="E116" s="8">
        <f t="shared" si="0"/>
        <v>112.59599999999999</v>
      </c>
      <c r="F116" s="8">
        <f t="shared" si="1"/>
        <v>0</v>
      </c>
      <c r="G116" s="8">
        <v>191.3</v>
      </c>
      <c r="H116" s="8">
        <f t="shared" si="2"/>
        <v>57.39</v>
      </c>
      <c r="I116" s="8">
        <v>211.2</v>
      </c>
      <c r="J116" s="8">
        <f t="shared" si="3"/>
        <v>63.359999999999992</v>
      </c>
      <c r="K116" s="8">
        <f t="shared" si="4"/>
        <v>0</v>
      </c>
      <c r="L116" s="8">
        <v>188.28</v>
      </c>
      <c r="M116" s="8">
        <f t="shared" si="5"/>
        <v>48.952800000000003</v>
      </c>
      <c r="N116" s="8">
        <f t="shared" si="6"/>
        <v>0</v>
      </c>
      <c r="O116" s="8">
        <v>185.82</v>
      </c>
      <c r="P116" s="8">
        <f t="shared" si="7"/>
        <v>55.745999999999995</v>
      </c>
      <c r="Q116" s="8">
        <f t="shared" si="8"/>
        <v>0</v>
      </c>
      <c r="R116" s="8">
        <f t="shared" si="24"/>
        <v>188.28</v>
      </c>
      <c r="S116" s="8">
        <f t="shared" si="10"/>
        <v>56.484000000000002</v>
      </c>
      <c r="T116" s="8">
        <f t="shared" si="11"/>
        <v>0</v>
      </c>
      <c r="U116" s="8">
        <f t="shared" si="25"/>
        <v>188.28</v>
      </c>
      <c r="V116" s="8">
        <f t="shared" si="13"/>
        <v>56.484000000000002</v>
      </c>
      <c r="W116" s="8">
        <f t="shared" si="14"/>
        <v>0</v>
      </c>
      <c r="X116" s="8">
        <v>360.33</v>
      </c>
      <c r="Y116" s="8">
        <f t="shared" si="15"/>
        <v>108.09899999999999</v>
      </c>
      <c r="Z116" s="8">
        <f t="shared" si="16"/>
        <v>0</v>
      </c>
      <c r="AA116" s="8">
        <v>207.86</v>
      </c>
      <c r="AB116" s="8">
        <f t="shared" si="17"/>
        <v>62.358000000000004</v>
      </c>
      <c r="AC116" s="8">
        <f t="shared" si="18"/>
        <v>0</v>
      </c>
      <c r="AD116" s="8">
        <v>222.34</v>
      </c>
      <c r="AE116" s="8">
        <f t="shared" si="19"/>
        <v>66.701999999999998</v>
      </c>
      <c r="AF116" s="9">
        <f t="shared" si="20"/>
        <v>0</v>
      </c>
    </row>
    <row r="117" spans="1:32" ht="12.6" customHeight="1" x14ac:dyDescent="0.3">
      <c r="A117" s="6"/>
      <c r="B117" s="7" t="s">
        <v>239</v>
      </c>
      <c r="C117" s="7" t="s">
        <v>240</v>
      </c>
      <c r="D117" s="8">
        <v>319.19</v>
      </c>
      <c r="E117" s="8">
        <f t="shared" si="0"/>
        <v>95.756999999999991</v>
      </c>
      <c r="F117" s="8">
        <f t="shared" si="1"/>
        <v>0</v>
      </c>
      <c r="G117" s="8">
        <v>171.59</v>
      </c>
      <c r="H117" s="8">
        <f t="shared" si="2"/>
        <v>51.476999999999997</v>
      </c>
      <c r="I117" s="8">
        <v>170.4</v>
      </c>
      <c r="J117" s="8">
        <f t="shared" si="3"/>
        <v>51.12</v>
      </c>
      <c r="K117" s="8">
        <f t="shared" si="4"/>
        <v>0</v>
      </c>
      <c r="L117" s="8">
        <v>151.28</v>
      </c>
      <c r="M117" s="8">
        <f t="shared" si="5"/>
        <v>39.332799999999999</v>
      </c>
      <c r="N117" s="8">
        <f t="shared" si="6"/>
        <v>0</v>
      </c>
      <c r="O117" s="8">
        <v>149.34</v>
      </c>
      <c r="P117" s="8">
        <f t="shared" si="7"/>
        <v>44.802</v>
      </c>
      <c r="Q117" s="8">
        <f t="shared" si="8"/>
        <v>0</v>
      </c>
      <c r="R117" s="8">
        <f t="shared" si="24"/>
        <v>151.28</v>
      </c>
      <c r="S117" s="8">
        <f t="shared" si="10"/>
        <v>45.384</v>
      </c>
      <c r="T117" s="8">
        <f t="shared" si="11"/>
        <v>0</v>
      </c>
      <c r="U117" s="8">
        <f t="shared" si="25"/>
        <v>151.28</v>
      </c>
      <c r="V117" s="8">
        <f t="shared" si="13"/>
        <v>45.384</v>
      </c>
      <c r="W117" s="8">
        <f t="shared" si="14"/>
        <v>0</v>
      </c>
      <c r="X117" s="8">
        <v>338.68</v>
      </c>
      <c r="Y117" s="8">
        <f t="shared" si="15"/>
        <v>101.604</v>
      </c>
      <c r="Z117" s="8">
        <f t="shared" si="16"/>
        <v>0</v>
      </c>
      <c r="AA117" s="8">
        <v>165.72</v>
      </c>
      <c r="AB117" s="8">
        <f t="shared" si="17"/>
        <v>49.716000000000001</v>
      </c>
      <c r="AC117" s="8">
        <f t="shared" si="18"/>
        <v>0</v>
      </c>
      <c r="AD117" s="8">
        <v>180.22</v>
      </c>
      <c r="AE117" s="8">
        <f t="shared" si="19"/>
        <v>54.065999999999995</v>
      </c>
      <c r="AF117" s="9">
        <f t="shared" si="20"/>
        <v>0</v>
      </c>
    </row>
    <row r="118" spans="1:32" ht="12.6" customHeight="1" x14ac:dyDescent="0.3">
      <c r="A118" s="6"/>
      <c r="B118" s="7" t="s">
        <v>241</v>
      </c>
      <c r="C118" s="7" t="s">
        <v>242</v>
      </c>
      <c r="D118" s="8">
        <v>395.48</v>
      </c>
      <c r="E118" s="8">
        <f t="shared" si="0"/>
        <v>118.64400000000001</v>
      </c>
      <c r="F118" s="8">
        <f t="shared" si="1"/>
        <v>0</v>
      </c>
      <c r="G118" s="8">
        <v>177.48</v>
      </c>
      <c r="H118" s="8">
        <f t="shared" si="2"/>
        <v>53.243999999999993</v>
      </c>
      <c r="I118" s="8">
        <v>246.37</v>
      </c>
      <c r="J118" s="8">
        <f t="shared" si="3"/>
        <v>73.911000000000001</v>
      </c>
      <c r="K118" s="8">
        <f t="shared" si="4"/>
        <v>0</v>
      </c>
      <c r="L118" s="8">
        <v>222.73</v>
      </c>
      <c r="M118" s="8">
        <f t="shared" si="5"/>
        <v>57.909799999999997</v>
      </c>
      <c r="N118" s="8">
        <f t="shared" si="6"/>
        <v>0</v>
      </c>
      <c r="O118" s="8">
        <v>210.11</v>
      </c>
      <c r="P118" s="8">
        <f t="shared" si="7"/>
        <v>63.033000000000001</v>
      </c>
      <c r="Q118" s="8">
        <f t="shared" si="8"/>
        <v>0</v>
      </c>
      <c r="R118" s="8">
        <f t="shared" si="24"/>
        <v>222.73</v>
      </c>
      <c r="S118" s="8">
        <f t="shared" si="10"/>
        <v>66.818999999999988</v>
      </c>
      <c r="T118" s="8">
        <f t="shared" si="11"/>
        <v>0</v>
      </c>
      <c r="U118" s="8">
        <f t="shared" si="25"/>
        <v>222.73</v>
      </c>
      <c r="V118" s="8">
        <f t="shared" si="13"/>
        <v>66.818999999999988</v>
      </c>
      <c r="W118" s="8">
        <f t="shared" si="14"/>
        <v>0</v>
      </c>
      <c r="X118" s="8">
        <v>396.85</v>
      </c>
      <c r="Y118" s="8">
        <f t="shared" si="15"/>
        <v>119.05500000000001</v>
      </c>
      <c r="Z118" s="8">
        <f t="shared" si="16"/>
        <v>0</v>
      </c>
      <c r="AA118" s="8">
        <v>227.61</v>
      </c>
      <c r="AB118" s="8">
        <f t="shared" si="17"/>
        <v>68.283000000000001</v>
      </c>
      <c r="AC118" s="8">
        <f t="shared" si="18"/>
        <v>0</v>
      </c>
      <c r="AD118" s="8">
        <v>254.98</v>
      </c>
      <c r="AE118" s="8">
        <f t="shared" si="19"/>
        <v>76.494</v>
      </c>
      <c r="AF118" s="9">
        <f t="shared" si="20"/>
        <v>0</v>
      </c>
    </row>
    <row r="119" spans="1:32" ht="12.6" customHeight="1" x14ac:dyDescent="0.3">
      <c r="A119" s="6"/>
      <c r="B119" s="7" t="s">
        <v>243</v>
      </c>
      <c r="C119" s="7" t="s">
        <v>244</v>
      </c>
      <c r="D119" s="8">
        <v>430.92</v>
      </c>
      <c r="E119" s="8">
        <f t="shared" si="0"/>
        <v>129.27600000000001</v>
      </c>
      <c r="F119" s="8">
        <f t="shared" si="1"/>
        <v>0</v>
      </c>
      <c r="G119" s="8">
        <v>223.05</v>
      </c>
      <c r="H119" s="8">
        <f t="shared" si="2"/>
        <v>66.915000000000006</v>
      </c>
      <c r="I119" s="8">
        <v>238.25</v>
      </c>
      <c r="J119" s="8">
        <f t="shared" si="3"/>
        <v>71.474999999999994</v>
      </c>
      <c r="K119" s="8">
        <f t="shared" si="4"/>
        <v>0</v>
      </c>
      <c r="L119" s="8">
        <v>212.84</v>
      </c>
      <c r="M119" s="8">
        <f t="shared" si="5"/>
        <v>55.3384</v>
      </c>
      <c r="N119" s="8">
        <f t="shared" si="6"/>
        <v>0</v>
      </c>
      <c r="O119" s="8">
        <v>219.88</v>
      </c>
      <c r="P119" s="8">
        <f t="shared" si="7"/>
        <v>65.963999999999999</v>
      </c>
      <c r="Q119" s="8">
        <f t="shared" si="8"/>
        <v>0</v>
      </c>
      <c r="R119" s="8">
        <f t="shared" si="24"/>
        <v>212.84</v>
      </c>
      <c r="S119" s="8">
        <f t="shared" si="10"/>
        <v>63.851999999999997</v>
      </c>
      <c r="T119" s="8">
        <f t="shared" si="11"/>
        <v>0</v>
      </c>
      <c r="U119" s="8">
        <f t="shared" si="25"/>
        <v>212.84</v>
      </c>
      <c r="V119" s="8">
        <f t="shared" si="13"/>
        <v>63.851999999999997</v>
      </c>
      <c r="W119" s="8">
        <f t="shared" si="14"/>
        <v>0</v>
      </c>
      <c r="X119" s="8">
        <v>455.42</v>
      </c>
      <c r="Y119" s="8">
        <f t="shared" si="15"/>
        <v>136.626</v>
      </c>
      <c r="Z119" s="8">
        <f t="shared" si="16"/>
        <v>0</v>
      </c>
      <c r="AA119" s="8">
        <v>240.47</v>
      </c>
      <c r="AB119" s="8">
        <f t="shared" si="17"/>
        <v>72.140999999999991</v>
      </c>
      <c r="AC119" s="8">
        <f t="shared" si="18"/>
        <v>0</v>
      </c>
      <c r="AD119" s="8">
        <v>258.88</v>
      </c>
      <c r="AE119" s="8">
        <f t="shared" si="19"/>
        <v>77.664000000000001</v>
      </c>
      <c r="AF119" s="9">
        <f t="shared" si="20"/>
        <v>0</v>
      </c>
    </row>
    <row r="120" spans="1:32" ht="12.6" customHeight="1" x14ac:dyDescent="0.3">
      <c r="A120" s="6"/>
      <c r="B120" s="7" t="s">
        <v>245</v>
      </c>
      <c r="C120" s="7" t="s">
        <v>246</v>
      </c>
      <c r="D120" s="8">
        <v>381.47</v>
      </c>
      <c r="E120" s="8">
        <f t="shared" si="0"/>
        <v>114.441</v>
      </c>
      <c r="F120" s="8">
        <f t="shared" si="1"/>
        <v>0</v>
      </c>
      <c r="G120" s="8">
        <v>180.43</v>
      </c>
      <c r="H120" s="8">
        <f t="shared" si="2"/>
        <v>54.128999999999998</v>
      </c>
      <c r="I120" s="8">
        <v>217.49</v>
      </c>
      <c r="J120" s="8">
        <f t="shared" si="3"/>
        <v>65.247</v>
      </c>
      <c r="K120" s="8">
        <f t="shared" si="4"/>
        <v>0</v>
      </c>
      <c r="L120" s="8">
        <v>204.84</v>
      </c>
      <c r="M120" s="8">
        <f t="shared" si="5"/>
        <v>53.258400000000002</v>
      </c>
      <c r="N120" s="8">
        <f t="shared" si="6"/>
        <v>0</v>
      </c>
      <c r="O120" s="8">
        <v>202.2</v>
      </c>
      <c r="P120" s="8">
        <f t="shared" si="7"/>
        <v>60.66</v>
      </c>
      <c r="Q120" s="8">
        <f t="shared" si="8"/>
        <v>0</v>
      </c>
      <c r="R120" s="8">
        <f t="shared" si="24"/>
        <v>204.84</v>
      </c>
      <c r="S120" s="8">
        <f t="shared" si="10"/>
        <v>61.451999999999998</v>
      </c>
      <c r="T120" s="8">
        <f t="shared" si="11"/>
        <v>0</v>
      </c>
      <c r="U120" s="8">
        <f t="shared" si="25"/>
        <v>204.84</v>
      </c>
      <c r="V120" s="8">
        <f t="shared" si="13"/>
        <v>61.451999999999998</v>
      </c>
      <c r="W120" s="8">
        <f t="shared" si="14"/>
        <v>0</v>
      </c>
      <c r="X120" s="8">
        <v>366.61</v>
      </c>
      <c r="Y120" s="8">
        <f t="shared" si="15"/>
        <v>109.983</v>
      </c>
      <c r="Z120" s="8">
        <f t="shared" si="16"/>
        <v>0</v>
      </c>
      <c r="AA120" s="8">
        <v>211.59</v>
      </c>
      <c r="AB120" s="8">
        <f t="shared" si="17"/>
        <v>63.476999999999997</v>
      </c>
      <c r="AC120" s="8">
        <f t="shared" si="18"/>
        <v>0</v>
      </c>
      <c r="AD120" s="8">
        <v>232.91</v>
      </c>
      <c r="AE120" s="8">
        <f t="shared" si="19"/>
        <v>69.87299999999999</v>
      </c>
      <c r="AF120" s="9">
        <f t="shared" si="20"/>
        <v>0</v>
      </c>
    </row>
    <row r="121" spans="1:32" ht="12.6" customHeight="1" x14ac:dyDescent="0.3">
      <c r="A121" s="6"/>
      <c r="B121" s="7" t="s">
        <v>247</v>
      </c>
      <c r="C121" s="7" t="s">
        <v>248</v>
      </c>
      <c r="D121" s="8">
        <v>423.91</v>
      </c>
      <c r="E121" s="8">
        <f t="shared" si="0"/>
        <v>127.173</v>
      </c>
      <c r="F121" s="8">
        <f t="shared" si="1"/>
        <v>0</v>
      </c>
      <c r="G121" s="8">
        <v>196.66</v>
      </c>
      <c r="H121" s="8">
        <f t="shared" si="2"/>
        <v>58.997999999999998</v>
      </c>
      <c r="I121" s="8">
        <v>257.89999999999998</v>
      </c>
      <c r="J121" s="8">
        <f t="shared" si="3"/>
        <v>77.36999999999999</v>
      </c>
      <c r="K121" s="8">
        <f t="shared" si="4"/>
        <v>0</v>
      </c>
      <c r="L121" s="8">
        <v>232.42</v>
      </c>
      <c r="M121" s="8">
        <f t="shared" si="5"/>
        <v>60.429200000000002</v>
      </c>
      <c r="N121" s="8">
        <f t="shared" si="6"/>
        <v>0</v>
      </c>
      <c r="O121" s="8">
        <v>229.43</v>
      </c>
      <c r="P121" s="8">
        <f t="shared" si="7"/>
        <v>68.828999999999994</v>
      </c>
      <c r="Q121" s="8">
        <f t="shared" si="8"/>
        <v>0</v>
      </c>
      <c r="R121" s="8">
        <f t="shared" si="24"/>
        <v>232.42</v>
      </c>
      <c r="S121" s="8">
        <f t="shared" si="10"/>
        <v>69.725999999999999</v>
      </c>
      <c r="T121" s="8">
        <f t="shared" si="11"/>
        <v>0</v>
      </c>
      <c r="U121" s="8">
        <f t="shared" si="25"/>
        <v>232.42</v>
      </c>
      <c r="V121" s="8">
        <f t="shared" si="13"/>
        <v>69.725999999999999</v>
      </c>
      <c r="W121" s="8">
        <f t="shared" si="14"/>
        <v>0</v>
      </c>
      <c r="X121" s="8">
        <v>428.73</v>
      </c>
      <c r="Y121" s="8">
        <f t="shared" si="15"/>
        <v>128.619</v>
      </c>
      <c r="Z121" s="8">
        <f t="shared" si="16"/>
        <v>0</v>
      </c>
      <c r="AA121" s="8">
        <v>252.72</v>
      </c>
      <c r="AB121" s="8">
        <f t="shared" si="17"/>
        <v>75.816000000000003</v>
      </c>
      <c r="AC121" s="8">
        <f t="shared" si="18"/>
        <v>0</v>
      </c>
      <c r="AD121" s="8">
        <v>270.66000000000003</v>
      </c>
      <c r="AE121" s="8">
        <f t="shared" si="19"/>
        <v>81.198000000000008</v>
      </c>
      <c r="AF121" s="9">
        <f t="shared" si="20"/>
        <v>0</v>
      </c>
    </row>
    <row r="122" spans="1:32" ht="12.6" customHeight="1" x14ac:dyDescent="0.3">
      <c r="A122" s="6"/>
      <c r="B122" s="7" t="s">
        <v>249</v>
      </c>
      <c r="C122" s="7" t="s">
        <v>250</v>
      </c>
      <c r="D122" s="8">
        <v>476.76</v>
      </c>
      <c r="E122" s="8">
        <f t="shared" si="0"/>
        <v>143.02799999999999</v>
      </c>
      <c r="F122" s="8">
        <f t="shared" si="1"/>
        <v>0</v>
      </c>
      <c r="G122" s="8">
        <v>236.41</v>
      </c>
      <c r="H122" s="8">
        <f t="shared" si="2"/>
        <v>70.923000000000002</v>
      </c>
      <c r="I122" s="8">
        <v>274.45999999999998</v>
      </c>
      <c r="J122" s="8">
        <f t="shared" si="3"/>
        <v>82.337999999999994</v>
      </c>
      <c r="K122" s="8">
        <f t="shared" si="4"/>
        <v>0</v>
      </c>
      <c r="L122" s="8">
        <v>245.98</v>
      </c>
      <c r="M122" s="8">
        <f t="shared" si="5"/>
        <v>63.954799999999999</v>
      </c>
      <c r="N122" s="8">
        <f t="shared" si="6"/>
        <v>0</v>
      </c>
      <c r="O122" s="8">
        <v>242.8</v>
      </c>
      <c r="P122" s="8">
        <f t="shared" si="7"/>
        <v>72.84</v>
      </c>
      <c r="Q122" s="8">
        <f t="shared" si="8"/>
        <v>0</v>
      </c>
      <c r="R122" s="8">
        <f t="shared" si="24"/>
        <v>245.98</v>
      </c>
      <c r="S122" s="8">
        <f t="shared" si="10"/>
        <v>73.793999999999997</v>
      </c>
      <c r="T122" s="8">
        <f t="shared" si="11"/>
        <v>0</v>
      </c>
      <c r="U122" s="8">
        <f t="shared" si="25"/>
        <v>245.98</v>
      </c>
      <c r="V122" s="8">
        <f t="shared" si="13"/>
        <v>73.793999999999997</v>
      </c>
      <c r="W122" s="8">
        <f t="shared" si="14"/>
        <v>0</v>
      </c>
      <c r="X122" s="8">
        <v>491.26</v>
      </c>
      <c r="Y122" s="8">
        <f t="shared" si="15"/>
        <v>147.37799999999999</v>
      </c>
      <c r="Z122" s="8">
        <f t="shared" si="16"/>
        <v>0</v>
      </c>
      <c r="AA122" s="8">
        <v>263.77999999999997</v>
      </c>
      <c r="AB122" s="8">
        <f t="shared" si="17"/>
        <v>79.133999999999986</v>
      </c>
      <c r="AC122" s="8">
        <f t="shared" si="18"/>
        <v>0</v>
      </c>
      <c r="AD122" s="8">
        <v>288.48</v>
      </c>
      <c r="AE122" s="8">
        <f t="shared" si="19"/>
        <v>86.543999999999997</v>
      </c>
      <c r="AF122" s="9">
        <f t="shared" si="20"/>
        <v>0</v>
      </c>
    </row>
    <row r="123" spans="1:32" ht="12.6" customHeight="1" x14ac:dyDescent="0.3">
      <c r="A123" s="6"/>
      <c r="B123" s="7" t="s">
        <v>251</v>
      </c>
      <c r="C123" s="7" t="s">
        <v>252</v>
      </c>
      <c r="D123" s="8">
        <v>205.76</v>
      </c>
      <c r="E123" s="8">
        <f t="shared" si="0"/>
        <v>61.727999999999994</v>
      </c>
      <c r="F123" s="8">
        <f t="shared" si="1"/>
        <v>0</v>
      </c>
      <c r="G123" s="8">
        <v>102.17</v>
      </c>
      <c r="H123" s="8">
        <f t="shared" si="2"/>
        <v>30.651</v>
      </c>
      <c r="I123" s="8">
        <v>118.6</v>
      </c>
      <c r="J123" s="8">
        <f t="shared" si="3"/>
        <v>35.58</v>
      </c>
      <c r="K123" s="8">
        <f t="shared" si="4"/>
        <v>0</v>
      </c>
      <c r="L123" s="8">
        <v>106.1</v>
      </c>
      <c r="M123" s="8">
        <f t="shared" si="5"/>
        <v>27.585999999999999</v>
      </c>
      <c r="N123" s="8">
        <f t="shared" si="6"/>
        <v>0</v>
      </c>
      <c r="O123" s="8">
        <v>104.73</v>
      </c>
      <c r="P123" s="8">
        <f t="shared" si="7"/>
        <v>31.419</v>
      </c>
      <c r="Q123" s="8">
        <f t="shared" si="8"/>
        <v>0</v>
      </c>
      <c r="R123" s="8">
        <f t="shared" si="24"/>
        <v>106.1</v>
      </c>
      <c r="S123" s="8">
        <f t="shared" si="10"/>
        <v>31.83</v>
      </c>
      <c r="T123" s="8">
        <f t="shared" si="11"/>
        <v>0</v>
      </c>
      <c r="U123" s="8">
        <f t="shared" si="25"/>
        <v>106.1</v>
      </c>
      <c r="V123" s="8">
        <f t="shared" si="13"/>
        <v>31.83</v>
      </c>
      <c r="W123" s="8">
        <f t="shared" si="14"/>
        <v>0</v>
      </c>
      <c r="X123" s="8">
        <v>195.91</v>
      </c>
      <c r="Y123" s="8">
        <f t="shared" si="15"/>
        <v>58.772999999999996</v>
      </c>
      <c r="Z123" s="8">
        <f t="shared" si="16"/>
        <v>0</v>
      </c>
      <c r="AA123" s="8">
        <v>116.14</v>
      </c>
      <c r="AB123" s="8">
        <f t="shared" si="17"/>
        <v>34.841999999999999</v>
      </c>
      <c r="AC123" s="8">
        <f t="shared" si="18"/>
        <v>0</v>
      </c>
      <c r="AD123" s="8">
        <v>124.5</v>
      </c>
      <c r="AE123" s="8">
        <f t="shared" si="19"/>
        <v>37.35</v>
      </c>
      <c r="AF123" s="9">
        <f t="shared" si="20"/>
        <v>0</v>
      </c>
    </row>
    <row r="124" spans="1:32" ht="12.6" customHeight="1" x14ac:dyDescent="0.3">
      <c r="A124" s="6"/>
      <c r="B124" s="7" t="s">
        <v>253</v>
      </c>
      <c r="C124" s="7" t="s">
        <v>254</v>
      </c>
      <c r="D124" s="8">
        <v>236.67</v>
      </c>
      <c r="E124" s="8">
        <f t="shared" si="0"/>
        <v>71.000999999999991</v>
      </c>
      <c r="F124" s="8">
        <f t="shared" si="1"/>
        <v>0</v>
      </c>
      <c r="G124" s="8">
        <v>110.54</v>
      </c>
      <c r="H124" s="8">
        <f t="shared" si="2"/>
        <v>33.161999999999999</v>
      </c>
      <c r="I124" s="8">
        <v>143.09</v>
      </c>
      <c r="J124" s="8">
        <f t="shared" si="3"/>
        <v>42.927</v>
      </c>
      <c r="K124" s="8">
        <f t="shared" si="4"/>
        <v>0</v>
      </c>
      <c r="L124" s="8">
        <v>128.69</v>
      </c>
      <c r="M124" s="8">
        <f t="shared" si="5"/>
        <v>33.459400000000002</v>
      </c>
      <c r="N124" s="8">
        <f t="shared" si="6"/>
        <v>0</v>
      </c>
      <c r="O124" s="8">
        <v>127.02</v>
      </c>
      <c r="P124" s="8">
        <f t="shared" si="7"/>
        <v>38.105999999999995</v>
      </c>
      <c r="Q124" s="8">
        <f t="shared" si="8"/>
        <v>0</v>
      </c>
      <c r="R124" s="8">
        <f t="shared" si="24"/>
        <v>128.69</v>
      </c>
      <c r="S124" s="8">
        <f t="shared" si="10"/>
        <v>38.606999999999999</v>
      </c>
      <c r="T124" s="8">
        <f t="shared" si="11"/>
        <v>0</v>
      </c>
      <c r="U124" s="8">
        <f t="shared" si="25"/>
        <v>128.69</v>
      </c>
      <c r="V124" s="8">
        <f t="shared" si="13"/>
        <v>38.606999999999999</v>
      </c>
      <c r="W124" s="8">
        <f t="shared" si="14"/>
        <v>0</v>
      </c>
      <c r="X124" s="8">
        <v>228.94</v>
      </c>
      <c r="Y124" s="8">
        <f t="shared" si="15"/>
        <v>68.682000000000002</v>
      </c>
      <c r="Z124" s="8">
        <f t="shared" si="16"/>
        <v>0</v>
      </c>
      <c r="AA124" s="8">
        <v>137.07</v>
      </c>
      <c r="AB124" s="8">
        <f t="shared" si="17"/>
        <v>41.120999999999995</v>
      </c>
      <c r="AC124" s="8">
        <f t="shared" si="18"/>
        <v>0</v>
      </c>
      <c r="AD124" s="8">
        <v>150.30000000000001</v>
      </c>
      <c r="AE124" s="8">
        <f t="shared" si="19"/>
        <v>45.09</v>
      </c>
      <c r="AF124" s="9">
        <f t="shared" si="20"/>
        <v>0</v>
      </c>
    </row>
    <row r="125" spans="1:32" ht="12.6" customHeight="1" x14ac:dyDescent="0.3">
      <c r="A125" s="6"/>
      <c r="B125" s="7" t="s">
        <v>255</v>
      </c>
      <c r="C125" s="7" t="s">
        <v>256</v>
      </c>
      <c r="D125" s="8">
        <v>266.54000000000002</v>
      </c>
      <c r="E125" s="8">
        <f t="shared" si="0"/>
        <v>79.962000000000003</v>
      </c>
      <c r="F125" s="8">
        <f t="shared" si="1"/>
        <v>0</v>
      </c>
      <c r="G125" s="8">
        <v>121.81</v>
      </c>
      <c r="H125" s="8">
        <f t="shared" si="2"/>
        <v>36.542999999999999</v>
      </c>
      <c r="I125" s="8">
        <v>164.31</v>
      </c>
      <c r="J125" s="8">
        <f t="shared" si="3"/>
        <v>49.292999999999999</v>
      </c>
      <c r="K125" s="8">
        <f t="shared" si="4"/>
        <v>0</v>
      </c>
      <c r="L125" s="8">
        <v>147.66999999999999</v>
      </c>
      <c r="M125" s="8">
        <f t="shared" si="5"/>
        <v>38.394199999999998</v>
      </c>
      <c r="N125" s="8">
        <f t="shared" si="6"/>
        <v>0</v>
      </c>
      <c r="O125" s="8">
        <v>145.80000000000001</v>
      </c>
      <c r="P125" s="8">
        <f t="shared" si="7"/>
        <v>43.74</v>
      </c>
      <c r="Q125" s="8">
        <f t="shared" si="8"/>
        <v>0</v>
      </c>
      <c r="R125" s="8">
        <f t="shared" si="24"/>
        <v>147.66999999999999</v>
      </c>
      <c r="S125" s="8">
        <f t="shared" si="10"/>
        <v>44.300999999999995</v>
      </c>
      <c r="T125" s="8">
        <f t="shared" si="11"/>
        <v>0</v>
      </c>
      <c r="U125" s="8">
        <f t="shared" si="25"/>
        <v>147.66999999999999</v>
      </c>
      <c r="V125" s="8">
        <f t="shared" si="13"/>
        <v>44.300999999999995</v>
      </c>
      <c r="W125" s="8">
        <f t="shared" si="14"/>
        <v>0</v>
      </c>
      <c r="X125" s="8">
        <v>261.98</v>
      </c>
      <c r="Y125" s="8">
        <f t="shared" si="15"/>
        <v>78.594000000000008</v>
      </c>
      <c r="Z125" s="8">
        <f t="shared" si="16"/>
        <v>0</v>
      </c>
      <c r="AA125" s="8">
        <v>159.53</v>
      </c>
      <c r="AB125" s="8">
        <f t="shared" si="17"/>
        <v>47.859000000000002</v>
      </c>
      <c r="AC125" s="8">
        <f t="shared" si="18"/>
        <v>0</v>
      </c>
      <c r="AD125" s="8">
        <v>172.1</v>
      </c>
      <c r="AE125" s="8">
        <f t="shared" si="19"/>
        <v>51.629999999999995</v>
      </c>
      <c r="AF125" s="9">
        <f t="shared" si="20"/>
        <v>0</v>
      </c>
    </row>
    <row r="126" spans="1:32" ht="12.6" customHeight="1" x14ac:dyDescent="0.3">
      <c r="A126" s="6"/>
      <c r="B126" s="7" t="s">
        <v>257</v>
      </c>
      <c r="C126" s="7" t="s">
        <v>258</v>
      </c>
      <c r="D126" s="8">
        <v>284.48</v>
      </c>
      <c r="E126" s="8">
        <f t="shared" si="0"/>
        <v>85.344000000000008</v>
      </c>
      <c r="F126" s="8">
        <f t="shared" si="1"/>
        <v>0</v>
      </c>
      <c r="G126" s="8">
        <v>128.36000000000001</v>
      </c>
      <c r="H126" s="8">
        <f t="shared" si="2"/>
        <v>38.508000000000003</v>
      </c>
      <c r="I126" s="8">
        <v>176.82</v>
      </c>
      <c r="J126" s="8">
        <f t="shared" si="3"/>
        <v>53.045999999999999</v>
      </c>
      <c r="K126" s="8">
        <f t="shared" si="4"/>
        <v>0</v>
      </c>
      <c r="L126" s="8">
        <v>159.47</v>
      </c>
      <c r="M126" s="8">
        <f t="shared" si="5"/>
        <v>41.462200000000003</v>
      </c>
      <c r="N126" s="8">
        <f t="shared" si="6"/>
        <v>0</v>
      </c>
      <c r="O126" s="8">
        <v>157.38999999999999</v>
      </c>
      <c r="P126" s="8">
        <f t="shared" si="7"/>
        <v>47.216999999999992</v>
      </c>
      <c r="Q126" s="8">
        <f t="shared" si="8"/>
        <v>0</v>
      </c>
      <c r="R126" s="8">
        <f t="shared" si="24"/>
        <v>159.47</v>
      </c>
      <c r="S126" s="8">
        <f t="shared" si="10"/>
        <v>47.841000000000001</v>
      </c>
      <c r="T126" s="8">
        <f t="shared" si="11"/>
        <v>0</v>
      </c>
      <c r="U126" s="8">
        <f t="shared" si="25"/>
        <v>159.47</v>
      </c>
      <c r="V126" s="8">
        <f t="shared" si="13"/>
        <v>47.841000000000001</v>
      </c>
      <c r="W126" s="8">
        <f t="shared" si="14"/>
        <v>0</v>
      </c>
      <c r="X126" s="8">
        <v>295</v>
      </c>
      <c r="Y126" s="8">
        <f t="shared" si="15"/>
        <v>88.5</v>
      </c>
      <c r="Z126" s="8">
        <f t="shared" si="16"/>
        <v>0</v>
      </c>
      <c r="AA126" s="8">
        <v>171.56</v>
      </c>
      <c r="AB126" s="8">
        <f t="shared" si="17"/>
        <v>51.467999999999996</v>
      </c>
      <c r="AC126" s="8">
        <f t="shared" si="18"/>
        <v>0</v>
      </c>
      <c r="AD126" s="8">
        <v>184.88</v>
      </c>
      <c r="AE126" s="8">
        <f t="shared" si="19"/>
        <v>55.463999999999999</v>
      </c>
      <c r="AF126" s="9">
        <f t="shared" si="20"/>
        <v>0</v>
      </c>
    </row>
    <row r="127" spans="1:32" ht="12.6" customHeight="1" x14ac:dyDescent="0.3">
      <c r="A127" s="6"/>
      <c r="B127" s="7" t="s">
        <v>259</v>
      </c>
      <c r="C127" s="7" t="s">
        <v>260</v>
      </c>
      <c r="D127" s="8">
        <v>312.70999999999998</v>
      </c>
      <c r="E127" s="8">
        <f t="shared" si="0"/>
        <v>93.812999999999988</v>
      </c>
      <c r="F127" s="8">
        <f t="shared" si="1"/>
        <v>0</v>
      </c>
      <c r="G127" s="8">
        <v>151.54</v>
      </c>
      <c r="H127" s="8">
        <f t="shared" si="2"/>
        <v>45.461999999999996</v>
      </c>
      <c r="I127" s="8">
        <v>183.49</v>
      </c>
      <c r="J127" s="8">
        <f t="shared" si="3"/>
        <v>55.047000000000004</v>
      </c>
      <c r="K127" s="8">
        <f t="shared" si="4"/>
        <v>0</v>
      </c>
      <c r="L127" s="8">
        <v>164.7</v>
      </c>
      <c r="M127" s="8">
        <f t="shared" si="5"/>
        <v>42.821999999999996</v>
      </c>
      <c r="N127" s="8">
        <f t="shared" si="6"/>
        <v>0</v>
      </c>
      <c r="O127" s="8">
        <v>162.57</v>
      </c>
      <c r="P127" s="8">
        <f t="shared" si="7"/>
        <v>48.770999999999994</v>
      </c>
      <c r="Q127" s="8">
        <f t="shared" si="8"/>
        <v>0</v>
      </c>
      <c r="R127" s="8">
        <f t="shared" si="24"/>
        <v>164.7</v>
      </c>
      <c r="S127" s="8">
        <f t="shared" si="10"/>
        <v>49.41</v>
      </c>
      <c r="T127" s="8">
        <f t="shared" si="11"/>
        <v>0</v>
      </c>
      <c r="U127" s="8">
        <f t="shared" si="25"/>
        <v>164.7</v>
      </c>
      <c r="V127" s="8">
        <f t="shared" si="13"/>
        <v>49.41</v>
      </c>
      <c r="W127" s="8">
        <f t="shared" si="14"/>
        <v>0</v>
      </c>
      <c r="X127" s="8">
        <v>328.47</v>
      </c>
      <c r="Y127" s="8">
        <f t="shared" si="15"/>
        <v>98.541000000000011</v>
      </c>
      <c r="Z127" s="8">
        <f t="shared" si="16"/>
        <v>0</v>
      </c>
      <c r="AA127" s="8">
        <v>172.59</v>
      </c>
      <c r="AB127" s="8">
        <f t="shared" si="17"/>
        <v>51.777000000000001</v>
      </c>
      <c r="AC127" s="8">
        <f t="shared" si="18"/>
        <v>0</v>
      </c>
      <c r="AD127" s="8">
        <v>192.86</v>
      </c>
      <c r="AE127" s="8">
        <f t="shared" si="19"/>
        <v>57.858000000000004</v>
      </c>
      <c r="AF127" s="9">
        <f t="shared" si="20"/>
        <v>0</v>
      </c>
    </row>
    <row r="128" spans="1:32" ht="12.6" customHeight="1" x14ac:dyDescent="0.3">
      <c r="A128" s="6"/>
      <c r="B128" s="7" t="s">
        <v>261</v>
      </c>
      <c r="C128" s="7" t="s">
        <v>262</v>
      </c>
      <c r="D128" s="8">
        <v>414.63</v>
      </c>
      <c r="E128" s="8">
        <f t="shared" si="0"/>
        <v>124.389</v>
      </c>
      <c r="F128" s="8">
        <f t="shared" si="1"/>
        <v>0</v>
      </c>
      <c r="G128" s="8">
        <v>190.11</v>
      </c>
      <c r="H128" s="8">
        <f t="shared" si="2"/>
        <v>57.033000000000001</v>
      </c>
      <c r="I128" s="8">
        <v>266.01</v>
      </c>
      <c r="J128" s="8">
        <f t="shared" si="3"/>
        <v>79.802999999999997</v>
      </c>
      <c r="K128" s="8">
        <f t="shared" si="4"/>
        <v>0</v>
      </c>
      <c r="L128" s="8">
        <v>228.88</v>
      </c>
      <c r="M128" s="8">
        <f t="shared" si="5"/>
        <v>59.508800000000001</v>
      </c>
      <c r="N128" s="8">
        <f t="shared" si="6"/>
        <v>0</v>
      </c>
      <c r="O128" s="8">
        <v>225.94</v>
      </c>
      <c r="P128" s="8">
        <f t="shared" si="7"/>
        <v>67.781999999999996</v>
      </c>
      <c r="Q128" s="8">
        <f t="shared" si="8"/>
        <v>0</v>
      </c>
      <c r="R128" s="8">
        <f t="shared" si="24"/>
        <v>228.88</v>
      </c>
      <c r="S128" s="8">
        <f t="shared" si="10"/>
        <v>68.664000000000001</v>
      </c>
      <c r="T128" s="8">
        <f t="shared" si="11"/>
        <v>0</v>
      </c>
      <c r="U128" s="8">
        <f t="shared" si="25"/>
        <v>228.88</v>
      </c>
      <c r="V128" s="8">
        <f t="shared" si="13"/>
        <v>68.664000000000001</v>
      </c>
      <c r="W128" s="8">
        <f t="shared" si="14"/>
        <v>0</v>
      </c>
      <c r="X128" s="8">
        <v>394.54</v>
      </c>
      <c r="Y128" s="8">
        <f t="shared" si="15"/>
        <v>118.36199999999999</v>
      </c>
      <c r="Z128" s="8">
        <f t="shared" si="16"/>
        <v>0</v>
      </c>
      <c r="AA128" s="8">
        <v>251.6</v>
      </c>
      <c r="AB128" s="8">
        <f t="shared" si="17"/>
        <v>75.47999999999999</v>
      </c>
      <c r="AC128" s="8">
        <f t="shared" si="18"/>
        <v>0</v>
      </c>
      <c r="AD128" s="8">
        <v>266.81</v>
      </c>
      <c r="AE128" s="8">
        <f t="shared" si="19"/>
        <v>80.042999999999992</v>
      </c>
      <c r="AF128" s="9">
        <f t="shared" si="20"/>
        <v>0</v>
      </c>
    </row>
    <row r="129" spans="1:32" ht="12.6" customHeight="1" x14ac:dyDescent="0.3">
      <c r="A129" s="6"/>
      <c r="B129" s="7" t="s">
        <v>263</v>
      </c>
      <c r="C129" s="7" t="s">
        <v>264</v>
      </c>
      <c r="D129" s="8">
        <v>444.74</v>
      </c>
      <c r="E129" s="8">
        <f t="shared" si="0"/>
        <v>133.422</v>
      </c>
      <c r="F129" s="8">
        <f t="shared" si="1"/>
        <v>0</v>
      </c>
      <c r="G129" s="8">
        <v>209.63</v>
      </c>
      <c r="H129" s="8">
        <f t="shared" si="2"/>
        <v>62.888999999999996</v>
      </c>
      <c r="I129" s="8">
        <v>266.61</v>
      </c>
      <c r="J129" s="8">
        <f t="shared" si="3"/>
        <v>79.983000000000004</v>
      </c>
      <c r="K129" s="8">
        <f t="shared" si="4"/>
        <v>0</v>
      </c>
      <c r="L129" s="8">
        <v>240.01</v>
      </c>
      <c r="M129" s="8">
        <f t="shared" si="5"/>
        <v>62.4026</v>
      </c>
      <c r="N129" s="8">
        <f t="shared" si="6"/>
        <v>0</v>
      </c>
      <c r="O129" s="8">
        <v>236.93</v>
      </c>
      <c r="P129" s="8">
        <f t="shared" si="7"/>
        <v>71.078999999999994</v>
      </c>
      <c r="Q129" s="8">
        <f t="shared" si="8"/>
        <v>0</v>
      </c>
      <c r="R129" s="8">
        <f t="shared" si="24"/>
        <v>240.01</v>
      </c>
      <c r="S129" s="8">
        <f t="shared" si="10"/>
        <v>72.003</v>
      </c>
      <c r="T129" s="8">
        <f t="shared" si="11"/>
        <v>0</v>
      </c>
      <c r="U129" s="8">
        <f t="shared" si="25"/>
        <v>240.01</v>
      </c>
      <c r="V129" s="8">
        <f t="shared" si="13"/>
        <v>72.003</v>
      </c>
      <c r="W129" s="8">
        <f t="shared" si="14"/>
        <v>0</v>
      </c>
      <c r="X129" s="8">
        <v>460.61</v>
      </c>
      <c r="Y129" s="8">
        <f t="shared" si="15"/>
        <v>138.18299999999999</v>
      </c>
      <c r="Z129" s="8">
        <f t="shared" si="16"/>
        <v>0</v>
      </c>
      <c r="AA129" s="8">
        <v>256.39</v>
      </c>
      <c r="AB129" s="8">
        <f t="shared" si="17"/>
        <v>76.916999999999987</v>
      </c>
      <c r="AC129" s="8">
        <f t="shared" si="18"/>
        <v>0</v>
      </c>
      <c r="AD129" s="8">
        <v>280.62</v>
      </c>
      <c r="AE129" s="8">
        <f t="shared" si="19"/>
        <v>84.185999999999993</v>
      </c>
      <c r="AF129" s="9">
        <f t="shared" si="20"/>
        <v>0</v>
      </c>
    </row>
    <row r="130" spans="1:32" ht="12.6" customHeight="1" x14ac:dyDescent="0.3">
      <c r="A130" s="6"/>
      <c r="B130" s="7" t="s">
        <v>265</v>
      </c>
      <c r="C130" s="7" t="s">
        <v>266</v>
      </c>
      <c r="D130" s="8">
        <v>500.6</v>
      </c>
      <c r="E130" s="8">
        <f t="shared" si="0"/>
        <v>150.18</v>
      </c>
      <c r="F130" s="8">
        <f t="shared" si="1"/>
        <v>0</v>
      </c>
      <c r="G130" s="8">
        <v>250.17</v>
      </c>
      <c r="H130" s="8">
        <f t="shared" si="2"/>
        <v>75.050999999999988</v>
      </c>
      <c r="I130" s="8">
        <v>285.73</v>
      </c>
      <c r="J130" s="8">
        <f t="shared" si="3"/>
        <v>85.719000000000008</v>
      </c>
      <c r="K130" s="8">
        <f t="shared" si="4"/>
        <v>0</v>
      </c>
      <c r="L130" s="8">
        <v>256.06</v>
      </c>
      <c r="M130" s="8">
        <f t="shared" si="5"/>
        <v>66.575600000000009</v>
      </c>
      <c r="N130" s="8">
        <f t="shared" si="6"/>
        <v>0</v>
      </c>
      <c r="O130" s="8">
        <v>252.75</v>
      </c>
      <c r="P130" s="8">
        <f t="shared" si="7"/>
        <v>75.825000000000003</v>
      </c>
      <c r="Q130" s="8">
        <f t="shared" si="8"/>
        <v>0</v>
      </c>
      <c r="R130" s="8">
        <f t="shared" si="24"/>
        <v>256.06</v>
      </c>
      <c r="S130" s="8">
        <f t="shared" si="10"/>
        <v>76.817999999999998</v>
      </c>
      <c r="T130" s="8">
        <f t="shared" si="11"/>
        <v>0</v>
      </c>
      <c r="U130" s="8">
        <f t="shared" si="25"/>
        <v>256.06</v>
      </c>
      <c r="V130" s="8">
        <f t="shared" si="13"/>
        <v>76.817999999999998</v>
      </c>
      <c r="W130" s="8">
        <f t="shared" si="14"/>
        <v>0</v>
      </c>
      <c r="X130" s="8">
        <v>527.11</v>
      </c>
      <c r="Y130" s="8">
        <f t="shared" si="15"/>
        <v>158.13300000000001</v>
      </c>
      <c r="Z130" s="8">
        <f t="shared" si="16"/>
        <v>0</v>
      </c>
      <c r="AA130" s="8">
        <v>277.12</v>
      </c>
      <c r="AB130" s="8">
        <f t="shared" si="17"/>
        <v>83.135999999999996</v>
      </c>
      <c r="AC130" s="8">
        <f t="shared" si="18"/>
        <v>0</v>
      </c>
      <c r="AD130" s="8">
        <v>300.92</v>
      </c>
      <c r="AE130" s="8">
        <f t="shared" si="19"/>
        <v>90.275999999999996</v>
      </c>
      <c r="AF130" s="9">
        <f t="shared" si="20"/>
        <v>0</v>
      </c>
    </row>
    <row r="131" spans="1:32" ht="12.6" customHeight="1" x14ac:dyDescent="0.3">
      <c r="A131" s="6"/>
      <c r="B131" s="7" t="s">
        <v>267</v>
      </c>
      <c r="C131" s="7" t="s">
        <v>268</v>
      </c>
      <c r="D131" s="8">
        <v>428.96</v>
      </c>
      <c r="E131" s="8">
        <f t="shared" si="0"/>
        <v>128.68799999999999</v>
      </c>
      <c r="F131" s="8">
        <f t="shared" si="1"/>
        <v>0</v>
      </c>
      <c r="G131" s="8">
        <v>189.79</v>
      </c>
      <c r="H131" s="8">
        <f t="shared" si="2"/>
        <v>56.936999999999998</v>
      </c>
      <c r="I131" s="8">
        <v>278.58999999999997</v>
      </c>
      <c r="J131" s="8">
        <f t="shared" si="3"/>
        <v>83.576999999999984</v>
      </c>
      <c r="K131" s="8">
        <f t="shared" si="4"/>
        <v>0</v>
      </c>
      <c r="L131" s="8">
        <v>243.95</v>
      </c>
      <c r="M131" s="8">
        <f t="shared" si="5"/>
        <v>63.427</v>
      </c>
      <c r="N131" s="8">
        <f t="shared" si="6"/>
        <v>0</v>
      </c>
      <c r="O131" s="8">
        <v>240.81</v>
      </c>
      <c r="P131" s="8">
        <f t="shared" si="7"/>
        <v>72.242999999999995</v>
      </c>
      <c r="Q131" s="8">
        <f t="shared" si="8"/>
        <v>0</v>
      </c>
      <c r="R131" s="8">
        <f t="shared" si="24"/>
        <v>243.95</v>
      </c>
      <c r="S131" s="8">
        <f t="shared" si="10"/>
        <v>73.184999999999988</v>
      </c>
      <c r="T131" s="8">
        <f t="shared" si="11"/>
        <v>0</v>
      </c>
      <c r="U131" s="8">
        <f t="shared" si="25"/>
        <v>243.95</v>
      </c>
      <c r="V131" s="8">
        <f t="shared" si="13"/>
        <v>73.184999999999988</v>
      </c>
      <c r="W131" s="8">
        <f t="shared" si="14"/>
        <v>0</v>
      </c>
      <c r="X131" s="8">
        <v>422.47</v>
      </c>
      <c r="Y131" s="8">
        <f t="shared" si="15"/>
        <v>126.741</v>
      </c>
      <c r="Z131" s="8">
        <f t="shared" si="16"/>
        <v>0</v>
      </c>
      <c r="AA131" s="8">
        <v>267.76</v>
      </c>
      <c r="AB131" s="8">
        <f t="shared" si="17"/>
        <v>80.327999999999989</v>
      </c>
      <c r="AC131" s="8">
        <f t="shared" si="18"/>
        <v>0</v>
      </c>
      <c r="AD131" s="8">
        <v>314.02</v>
      </c>
      <c r="AE131" s="8">
        <f t="shared" si="19"/>
        <v>94.205999999999989</v>
      </c>
      <c r="AF131" s="9">
        <f t="shared" si="20"/>
        <v>0</v>
      </c>
    </row>
    <row r="132" spans="1:32" ht="12.6" customHeight="1" x14ac:dyDescent="0.3">
      <c r="A132" s="6"/>
      <c r="B132" s="7" t="s">
        <v>269</v>
      </c>
      <c r="C132" s="7" t="s">
        <v>270</v>
      </c>
      <c r="D132" s="8">
        <v>487.95</v>
      </c>
      <c r="E132" s="8">
        <f t="shared" si="0"/>
        <v>146.38499999999999</v>
      </c>
      <c r="F132" s="8">
        <f t="shared" si="1"/>
        <v>0</v>
      </c>
      <c r="G132" s="8">
        <v>221.81</v>
      </c>
      <c r="H132" s="8">
        <f t="shared" si="2"/>
        <v>66.542999999999992</v>
      </c>
      <c r="I132" s="8">
        <v>295.24</v>
      </c>
      <c r="J132" s="8">
        <f t="shared" si="3"/>
        <v>88.572000000000003</v>
      </c>
      <c r="K132" s="8">
        <f t="shared" si="4"/>
        <v>0</v>
      </c>
      <c r="L132" s="8">
        <v>271.52</v>
      </c>
      <c r="M132" s="8">
        <f t="shared" si="5"/>
        <v>70.595199999999991</v>
      </c>
      <c r="N132" s="8">
        <f t="shared" si="6"/>
        <v>0</v>
      </c>
      <c r="O132" s="8">
        <v>268.04000000000002</v>
      </c>
      <c r="P132" s="8">
        <f t="shared" si="7"/>
        <v>80.412000000000006</v>
      </c>
      <c r="Q132" s="8">
        <f t="shared" si="8"/>
        <v>0</v>
      </c>
      <c r="R132" s="8">
        <f t="shared" si="24"/>
        <v>271.52</v>
      </c>
      <c r="S132" s="8">
        <f t="shared" si="10"/>
        <v>81.455999999999989</v>
      </c>
      <c r="T132" s="8">
        <f t="shared" si="11"/>
        <v>0</v>
      </c>
      <c r="U132" s="8">
        <f t="shared" si="25"/>
        <v>271.52</v>
      </c>
      <c r="V132" s="8">
        <f t="shared" si="13"/>
        <v>81.455999999999989</v>
      </c>
      <c r="W132" s="8">
        <f t="shared" si="14"/>
        <v>0</v>
      </c>
      <c r="X132" s="8">
        <v>492.47</v>
      </c>
      <c r="Y132" s="8">
        <f t="shared" si="15"/>
        <v>147.74100000000001</v>
      </c>
      <c r="Z132" s="8">
        <f t="shared" si="16"/>
        <v>0</v>
      </c>
      <c r="AA132" s="8">
        <v>284.39999999999998</v>
      </c>
      <c r="AB132" s="8">
        <f t="shared" si="17"/>
        <v>85.32</v>
      </c>
      <c r="AC132" s="8">
        <f t="shared" si="18"/>
        <v>0</v>
      </c>
      <c r="AD132" s="8">
        <v>315.66000000000003</v>
      </c>
      <c r="AE132" s="8">
        <f t="shared" si="19"/>
        <v>94.698000000000008</v>
      </c>
      <c r="AF132" s="9">
        <f t="shared" si="20"/>
        <v>0</v>
      </c>
    </row>
    <row r="133" spans="1:32" ht="12.6" customHeight="1" x14ac:dyDescent="0.3">
      <c r="A133" s="6"/>
      <c r="B133" s="7" t="s">
        <v>271</v>
      </c>
      <c r="C133" s="7" t="s">
        <v>272</v>
      </c>
      <c r="D133" s="8">
        <v>531.25</v>
      </c>
      <c r="E133" s="8">
        <f t="shared" si="0"/>
        <v>159.375</v>
      </c>
      <c r="F133" s="8">
        <f t="shared" si="1"/>
        <v>0</v>
      </c>
      <c r="G133" s="8">
        <v>261.62</v>
      </c>
      <c r="H133" s="8">
        <f t="shared" si="2"/>
        <v>78.486000000000004</v>
      </c>
      <c r="I133" s="8">
        <v>307.14</v>
      </c>
      <c r="J133" s="8">
        <f t="shared" si="3"/>
        <v>92.141999999999996</v>
      </c>
      <c r="K133" s="8">
        <f t="shared" si="4"/>
        <v>0</v>
      </c>
      <c r="L133" s="8">
        <v>275.70999999999998</v>
      </c>
      <c r="M133" s="8">
        <f t="shared" si="5"/>
        <v>71.684600000000003</v>
      </c>
      <c r="N133" s="8">
        <f t="shared" si="6"/>
        <v>0</v>
      </c>
      <c r="O133" s="8">
        <v>272.18</v>
      </c>
      <c r="P133" s="8">
        <f t="shared" si="7"/>
        <v>81.653999999999996</v>
      </c>
      <c r="Q133" s="8">
        <f t="shared" si="8"/>
        <v>0</v>
      </c>
      <c r="R133" s="8">
        <f t="shared" si="24"/>
        <v>275.70999999999998</v>
      </c>
      <c r="S133" s="8">
        <f t="shared" si="10"/>
        <v>82.712999999999994</v>
      </c>
      <c r="T133" s="8">
        <f t="shared" si="11"/>
        <v>0</v>
      </c>
      <c r="U133" s="8">
        <f t="shared" si="25"/>
        <v>275.70999999999998</v>
      </c>
      <c r="V133" s="8">
        <f t="shared" si="13"/>
        <v>82.712999999999994</v>
      </c>
      <c r="W133" s="8">
        <f t="shared" si="14"/>
        <v>0</v>
      </c>
      <c r="X133" s="8">
        <v>562.94000000000005</v>
      </c>
      <c r="Y133" s="8">
        <f t="shared" si="15"/>
        <v>168.88200000000001</v>
      </c>
      <c r="Z133" s="8">
        <f t="shared" si="16"/>
        <v>0</v>
      </c>
      <c r="AA133" s="8">
        <v>289.49</v>
      </c>
      <c r="AB133" s="8">
        <f t="shared" si="17"/>
        <v>86.846999999999994</v>
      </c>
      <c r="AC133" s="8">
        <f t="shared" si="18"/>
        <v>0</v>
      </c>
      <c r="AD133" s="8">
        <v>323.51</v>
      </c>
      <c r="AE133" s="8">
        <f t="shared" si="19"/>
        <v>97.052999999999997</v>
      </c>
      <c r="AF133" s="9">
        <f t="shared" si="20"/>
        <v>0</v>
      </c>
    </row>
    <row r="134" spans="1:32" ht="12.6" customHeight="1" x14ac:dyDescent="0.3">
      <c r="A134" s="6"/>
      <c r="B134" s="7" t="s">
        <v>273</v>
      </c>
      <c r="C134" s="7"/>
      <c r="D134" s="8">
        <v>250.43</v>
      </c>
      <c r="E134" s="8">
        <f t="shared" si="0"/>
        <v>75.129000000000005</v>
      </c>
      <c r="F134" s="8">
        <f t="shared" si="1"/>
        <v>0</v>
      </c>
      <c r="G134" s="8">
        <v>108.25</v>
      </c>
      <c r="H134" s="8">
        <f t="shared" si="2"/>
        <v>32.475000000000001</v>
      </c>
      <c r="I134" s="8">
        <v>160.77000000000001</v>
      </c>
      <c r="J134" s="8">
        <f t="shared" si="3"/>
        <v>48.231000000000002</v>
      </c>
      <c r="K134" s="8">
        <f t="shared" si="4"/>
        <v>0</v>
      </c>
      <c r="L134" s="8">
        <v>144.86000000000001</v>
      </c>
      <c r="M134" s="8">
        <f t="shared" si="5"/>
        <v>37.663600000000002</v>
      </c>
      <c r="N134" s="8">
        <f t="shared" si="6"/>
        <v>0</v>
      </c>
      <c r="O134" s="8">
        <v>142.97999999999999</v>
      </c>
      <c r="P134" s="8">
        <f t="shared" si="7"/>
        <v>42.893999999999998</v>
      </c>
      <c r="Q134" s="8">
        <f t="shared" si="8"/>
        <v>0</v>
      </c>
      <c r="R134" s="8">
        <f t="shared" si="24"/>
        <v>144.86000000000001</v>
      </c>
      <c r="S134" s="8">
        <f t="shared" si="10"/>
        <v>43.458000000000006</v>
      </c>
      <c r="T134" s="8">
        <f t="shared" si="11"/>
        <v>0</v>
      </c>
      <c r="U134" s="8">
        <f t="shared" si="25"/>
        <v>144.86000000000001</v>
      </c>
      <c r="V134" s="8">
        <f t="shared" si="13"/>
        <v>43.458000000000006</v>
      </c>
      <c r="W134" s="8">
        <f t="shared" si="14"/>
        <v>0</v>
      </c>
      <c r="X134" s="8">
        <v>228.06</v>
      </c>
      <c r="Y134" s="8">
        <f t="shared" si="15"/>
        <v>68.417999999999992</v>
      </c>
      <c r="Z134" s="8">
        <f t="shared" si="16"/>
        <v>0</v>
      </c>
      <c r="AA134" s="8">
        <v>156.19</v>
      </c>
      <c r="AB134" s="8">
        <f t="shared" si="17"/>
        <v>46.856999999999999</v>
      </c>
      <c r="AC134" s="8">
        <f t="shared" si="18"/>
        <v>0</v>
      </c>
      <c r="AD134" s="8">
        <v>167.85</v>
      </c>
      <c r="AE134" s="8">
        <f t="shared" si="19"/>
        <v>50.354999999999997</v>
      </c>
      <c r="AF134" s="9">
        <f t="shared" si="20"/>
        <v>0</v>
      </c>
    </row>
    <row r="135" spans="1:32" ht="12.6" customHeight="1" x14ac:dyDescent="0.3">
      <c r="A135" s="6"/>
      <c r="B135" s="7" t="s">
        <v>274</v>
      </c>
      <c r="C135" s="7" t="s">
        <v>275</v>
      </c>
      <c r="D135" s="8">
        <v>301.25</v>
      </c>
      <c r="E135" s="8">
        <f t="shared" si="0"/>
        <v>90.375</v>
      </c>
      <c r="F135" s="8">
        <f t="shared" si="1"/>
        <v>0</v>
      </c>
      <c r="G135" s="8">
        <v>153.37</v>
      </c>
      <c r="H135" s="8">
        <f t="shared" si="2"/>
        <v>46.011000000000003</v>
      </c>
      <c r="I135" s="8">
        <v>169.28</v>
      </c>
      <c r="J135" s="8">
        <f t="shared" si="3"/>
        <v>50.783999999999999</v>
      </c>
      <c r="K135" s="8">
        <f t="shared" si="4"/>
        <v>0</v>
      </c>
      <c r="L135" s="8">
        <v>151.28</v>
      </c>
      <c r="M135" s="8">
        <f t="shared" si="5"/>
        <v>39.332799999999999</v>
      </c>
      <c r="N135" s="8">
        <f t="shared" si="6"/>
        <v>0</v>
      </c>
      <c r="O135" s="8"/>
      <c r="P135" s="8">
        <f t="shared" si="7"/>
        <v>0</v>
      </c>
      <c r="Q135" s="8">
        <f t="shared" si="8"/>
        <v>0</v>
      </c>
      <c r="R135" s="8">
        <f t="shared" si="24"/>
        <v>151.28</v>
      </c>
      <c r="S135" s="8">
        <f t="shared" si="10"/>
        <v>45.384</v>
      </c>
      <c r="T135" s="8">
        <f t="shared" si="11"/>
        <v>0</v>
      </c>
      <c r="U135" s="8">
        <f t="shared" si="25"/>
        <v>151.28</v>
      </c>
      <c r="V135" s="8">
        <f t="shared" si="13"/>
        <v>45.384</v>
      </c>
      <c r="W135" s="8">
        <f t="shared" si="14"/>
        <v>0</v>
      </c>
      <c r="X135" s="8">
        <v>228.06</v>
      </c>
      <c r="Y135" s="8">
        <f t="shared" si="15"/>
        <v>68.417999999999992</v>
      </c>
      <c r="Z135" s="8">
        <f t="shared" si="16"/>
        <v>0</v>
      </c>
      <c r="AA135" s="8"/>
      <c r="AB135" s="8">
        <f t="shared" si="17"/>
        <v>0</v>
      </c>
      <c r="AC135" s="8">
        <f t="shared" si="18"/>
        <v>0</v>
      </c>
      <c r="AD135" s="8">
        <v>178.79</v>
      </c>
      <c r="AE135" s="8">
        <f t="shared" si="19"/>
        <v>53.636999999999993</v>
      </c>
      <c r="AF135" s="9">
        <f t="shared" si="20"/>
        <v>0</v>
      </c>
    </row>
    <row r="136" spans="1:32" ht="12.6" customHeight="1" x14ac:dyDescent="0.3">
      <c r="A136" s="6"/>
      <c r="B136" s="7" t="s">
        <v>276</v>
      </c>
      <c r="C136" s="7" t="s">
        <v>277</v>
      </c>
      <c r="D136" s="8">
        <v>289.33</v>
      </c>
      <c r="E136" s="8">
        <f t="shared" si="0"/>
        <v>86.798999999999992</v>
      </c>
      <c r="F136" s="8">
        <f t="shared" si="1"/>
        <v>0</v>
      </c>
      <c r="G136" s="8">
        <v>117.61</v>
      </c>
      <c r="H136" s="8">
        <f t="shared" si="2"/>
        <v>35.283000000000001</v>
      </c>
      <c r="I136" s="8">
        <v>186.97</v>
      </c>
      <c r="J136" s="8">
        <f t="shared" si="3"/>
        <v>56.091000000000001</v>
      </c>
      <c r="K136" s="8">
        <f t="shared" si="4"/>
        <v>0</v>
      </c>
      <c r="L136" s="8">
        <v>174.86</v>
      </c>
      <c r="M136" s="8">
        <f t="shared" si="5"/>
        <v>45.463600000000007</v>
      </c>
      <c r="N136" s="8">
        <f t="shared" si="6"/>
        <v>0</v>
      </c>
      <c r="O136" s="8">
        <v>172.59</v>
      </c>
      <c r="P136" s="8">
        <f t="shared" si="7"/>
        <v>51.777000000000001</v>
      </c>
      <c r="Q136" s="8">
        <f t="shared" si="8"/>
        <v>0</v>
      </c>
      <c r="R136" s="8">
        <f t="shared" si="24"/>
        <v>174.86</v>
      </c>
      <c r="S136" s="8">
        <f t="shared" si="10"/>
        <v>52.458000000000006</v>
      </c>
      <c r="T136" s="8">
        <f t="shared" si="11"/>
        <v>0</v>
      </c>
      <c r="U136" s="8">
        <f t="shared" si="25"/>
        <v>174.86</v>
      </c>
      <c r="V136" s="8">
        <f t="shared" si="13"/>
        <v>52.458000000000006</v>
      </c>
      <c r="W136" s="8">
        <f t="shared" si="14"/>
        <v>0</v>
      </c>
      <c r="X136" s="8">
        <v>265.04000000000002</v>
      </c>
      <c r="Y136" s="8">
        <f t="shared" si="15"/>
        <v>79.512</v>
      </c>
      <c r="Z136" s="8">
        <f t="shared" si="16"/>
        <v>0</v>
      </c>
      <c r="AA136" s="8">
        <v>182.22</v>
      </c>
      <c r="AB136" s="8">
        <f t="shared" si="17"/>
        <v>54.665999999999997</v>
      </c>
      <c r="AC136" s="8">
        <f t="shared" si="18"/>
        <v>0</v>
      </c>
      <c r="AD136" s="8">
        <v>202.03</v>
      </c>
      <c r="AE136" s="8">
        <f t="shared" si="19"/>
        <v>60.608999999999995</v>
      </c>
      <c r="AF136" s="9">
        <f t="shared" si="20"/>
        <v>0</v>
      </c>
    </row>
    <row r="137" spans="1:32" ht="12.6" customHeight="1" x14ac:dyDescent="0.3">
      <c r="A137" s="6"/>
      <c r="B137" s="7" t="s">
        <v>278</v>
      </c>
      <c r="C137" s="7" t="s">
        <v>279</v>
      </c>
      <c r="D137" s="8">
        <v>326.13</v>
      </c>
      <c r="E137" s="8">
        <f t="shared" si="0"/>
        <v>97.838999999999999</v>
      </c>
      <c r="F137" s="8">
        <f t="shared" si="1"/>
        <v>0</v>
      </c>
      <c r="G137" s="8">
        <v>158.75</v>
      </c>
      <c r="H137" s="8">
        <f t="shared" si="2"/>
        <v>47.625</v>
      </c>
      <c r="I137" s="8">
        <v>184.02</v>
      </c>
      <c r="J137" s="8">
        <f t="shared" si="3"/>
        <v>55.206000000000003</v>
      </c>
      <c r="K137" s="8">
        <f t="shared" si="4"/>
        <v>0</v>
      </c>
      <c r="L137" s="8">
        <v>170.92</v>
      </c>
      <c r="M137" s="8">
        <f t="shared" si="5"/>
        <v>44.4392</v>
      </c>
      <c r="N137" s="8">
        <f t="shared" si="6"/>
        <v>0</v>
      </c>
      <c r="O137" s="8"/>
      <c r="P137" s="8">
        <f t="shared" si="7"/>
        <v>0</v>
      </c>
      <c r="Q137" s="8">
        <f t="shared" si="8"/>
        <v>0</v>
      </c>
      <c r="R137" s="8">
        <f t="shared" si="24"/>
        <v>170.92</v>
      </c>
      <c r="S137" s="8">
        <f t="shared" si="10"/>
        <v>51.275999999999996</v>
      </c>
      <c r="T137" s="8">
        <f t="shared" si="11"/>
        <v>0</v>
      </c>
      <c r="U137" s="8">
        <f t="shared" si="25"/>
        <v>170.92</v>
      </c>
      <c r="V137" s="8">
        <f t="shared" si="13"/>
        <v>51.275999999999996</v>
      </c>
      <c r="W137" s="8">
        <f t="shared" si="14"/>
        <v>0</v>
      </c>
      <c r="X137" s="8">
        <v>265.04000000000002</v>
      </c>
      <c r="Y137" s="8">
        <f t="shared" si="15"/>
        <v>79.512</v>
      </c>
      <c r="Z137" s="8">
        <f t="shared" si="16"/>
        <v>0</v>
      </c>
      <c r="AA137" s="8"/>
      <c r="AB137" s="8">
        <f t="shared" si="17"/>
        <v>0</v>
      </c>
      <c r="AC137" s="8">
        <f t="shared" si="18"/>
        <v>0</v>
      </c>
      <c r="AD137" s="8">
        <v>200.72</v>
      </c>
      <c r="AE137" s="8">
        <f t="shared" si="19"/>
        <v>60.215999999999994</v>
      </c>
      <c r="AF137" s="9">
        <f t="shared" si="20"/>
        <v>0</v>
      </c>
    </row>
    <row r="138" spans="1:32" ht="12.6" customHeight="1" x14ac:dyDescent="0.3">
      <c r="A138" s="6"/>
      <c r="B138" s="7" t="s">
        <v>280</v>
      </c>
      <c r="C138" s="7" t="s">
        <v>281</v>
      </c>
      <c r="D138" s="8">
        <v>318.67</v>
      </c>
      <c r="E138" s="8">
        <f t="shared" si="0"/>
        <v>95.600999999999999</v>
      </c>
      <c r="F138" s="8">
        <f t="shared" si="1"/>
        <v>0</v>
      </c>
      <c r="G138" s="8">
        <v>131.96</v>
      </c>
      <c r="H138" s="8">
        <f t="shared" si="2"/>
        <v>39.588000000000001</v>
      </c>
      <c r="I138" s="8">
        <v>203.67</v>
      </c>
      <c r="J138" s="8">
        <f t="shared" si="3"/>
        <v>61.100999999999992</v>
      </c>
      <c r="K138" s="8">
        <f t="shared" si="4"/>
        <v>0</v>
      </c>
      <c r="L138" s="8">
        <v>190.57</v>
      </c>
      <c r="M138" s="8">
        <f t="shared" si="5"/>
        <v>49.548200000000001</v>
      </c>
      <c r="N138" s="8">
        <f t="shared" si="6"/>
        <v>0</v>
      </c>
      <c r="O138" s="8">
        <v>188.15</v>
      </c>
      <c r="P138" s="8">
        <f t="shared" si="7"/>
        <v>56.445</v>
      </c>
      <c r="Q138" s="8">
        <f t="shared" si="8"/>
        <v>0</v>
      </c>
      <c r="R138" s="8">
        <f t="shared" si="24"/>
        <v>190.57</v>
      </c>
      <c r="S138" s="8">
        <f t="shared" si="10"/>
        <v>57.170999999999999</v>
      </c>
      <c r="T138" s="8">
        <f t="shared" si="11"/>
        <v>0</v>
      </c>
      <c r="U138" s="8">
        <f t="shared" si="25"/>
        <v>190.57</v>
      </c>
      <c r="V138" s="8">
        <f t="shared" si="13"/>
        <v>57.170999999999999</v>
      </c>
      <c r="W138" s="8">
        <f t="shared" si="14"/>
        <v>0</v>
      </c>
      <c r="X138" s="8">
        <v>302.01</v>
      </c>
      <c r="Y138" s="8">
        <f t="shared" si="15"/>
        <v>90.602999999999994</v>
      </c>
      <c r="Z138" s="8">
        <f t="shared" si="16"/>
        <v>0</v>
      </c>
      <c r="AA138" s="8">
        <v>198.72</v>
      </c>
      <c r="AB138" s="8">
        <f t="shared" si="17"/>
        <v>59.616</v>
      </c>
      <c r="AC138" s="8">
        <f t="shared" si="18"/>
        <v>0</v>
      </c>
      <c r="AD138" s="8">
        <v>219.45</v>
      </c>
      <c r="AE138" s="8">
        <f t="shared" si="19"/>
        <v>65.834999999999994</v>
      </c>
      <c r="AF138" s="9">
        <f t="shared" si="20"/>
        <v>0</v>
      </c>
    </row>
    <row r="139" spans="1:32" ht="12.6" customHeight="1" x14ac:dyDescent="0.3">
      <c r="A139" s="6"/>
      <c r="B139" s="7" t="s">
        <v>282</v>
      </c>
      <c r="C139" s="7" t="s">
        <v>283</v>
      </c>
      <c r="D139" s="8">
        <v>343.16</v>
      </c>
      <c r="E139" s="8">
        <f t="shared" si="0"/>
        <v>102.94800000000001</v>
      </c>
      <c r="F139" s="8">
        <f t="shared" si="1"/>
        <v>0</v>
      </c>
      <c r="G139" s="8">
        <v>165.68</v>
      </c>
      <c r="H139" s="8">
        <f t="shared" si="2"/>
        <v>49.704000000000001</v>
      </c>
      <c r="I139" s="8">
        <v>202.03</v>
      </c>
      <c r="J139" s="8">
        <f t="shared" si="3"/>
        <v>60.608999999999995</v>
      </c>
      <c r="K139" s="8">
        <f t="shared" si="4"/>
        <v>0</v>
      </c>
      <c r="L139" s="8">
        <v>181.08</v>
      </c>
      <c r="M139" s="8">
        <f t="shared" si="5"/>
        <v>47.080800000000004</v>
      </c>
      <c r="N139" s="8">
        <f t="shared" si="6"/>
        <v>0</v>
      </c>
      <c r="O139" s="8"/>
      <c r="P139" s="8">
        <f t="shared" si="7"/>
        <v>0</v>
      </c>
      <c r="Q139" s="8">
        <f t="shared" si="8"/>
        <v>0</v>
      </c>
      <c r="R139" s="8">
        <f t="shared" si="24"/>
        <v>181.08</v>
      </c>
      <c r="S139" s="8">
        <f t="shared" si="10"/>
        <v>54.324000000000005</v>
      </c>
      <c r="T139" s="8">
        <f t="shared" si="11"/>
        <v>0</v>
      </c>
      <c r="U139" s="8">
        <f t="shared" si="25"/>
        <v>181.08</v>
      </c>
      <c r="V139" s="8">
        <f t="shared" si="13"/>
        <v>54.324000000000005</v>
      </c>
      <c r="W139" s="8">
        <f t="shared" si="14"/>
        <v>0</v>
      </c>
      <c r="X139" s="8">
        <v>302.01</v>
      </c>
      <c r="Y139" s="8">
        <f t="shared" si="15"/>
        <v>90.602999999999994</v>
      </c>
      <c r="Z139" s="8">
        <f t="shared" si="16"/>
        <v>0</v>
      </c>
      <c r="AA139" s="8"/>
      <c r="AB139" s="8">
        <f t="shared" si="17"/>
        <v>0</v>
      </c>
      <c r="AC139" s="8">
        <f t="shared" si="18"/>
        <v>0</v>
      </c>
      <c r="AD139" s="8">
        <v>213.16</v>
      </c>
      <c r="AE139" s="8">
        <f t="shared" si="19"/>
        <v>63.947999999999993</v>
      </c>
      <c r="AF139" s="9">
        <f t="shared" si="20"/>
        <v>0</v>
      </c>
    </row>
    <row r="140" spans="1:32" ht="12.6" customHeight="1" x14ac:dyDescent="0.3">
      <c r="A140" s="6"/>
      <c r="B140" s="7" t="s">
        <v>284</v>
      </c>
      <c r="C140" s="7" t="s">
        <v>285</v>
      </c>
      <c r="D140" s="8">
        <v>343.61</v>
      </c>
      <c r="E140" s="8">
        <f t="shared" si="0"/>
        <v>103.083</v>
      </c>
      <c r="F140" s="8">
        <f t="shared" si="1"/>
        <v>0</v>
      </c>
      <c r="G140" s="8">
        <v>136.28</v>
      </c>
      <c r="H140" s="8">
        <f t="shared" si="2"/>
        <v>40.884</v>
      </c>
      <c r="I140" s="8">
        <v>232.16</v>
      </c>
      <c r="J140" s="8">
        <f t="shared" si="3"/>
        <v>69.647999999999996</v>
      </c>
      <c r="K140" s="8">
        <f t="shared" si="4"/>
        <v>0</v>
      </c>
      <c r="L140" s="8">
        <v>211.53</v>
      </c>
      <c r="M140" s="8">
        <f t="shared" si="5"/>
        <v>54.997800000000005</v>
      </c>
      <c r="N140" s="8">
        <f t="shared" si="6"/>
        <v>0</v>
      </c>
      <c r="O140" s="8">
        <v>208.83</v>
      </c>
      <c r="P140" s="8">
        <f t="shared" si="7"/>
        <v>62.649000000000001</v>
      </c>
      <c r="Q140" s="8">
        <f t="shared" si="8"/>
        <v>0</v>
      </c>
      <c r="R140" s="8">
        <f t="shared" si="24"/>
        <v>211.53</v>
      </c>
      <c r="S140" s="8">
        <f t="shared" si="10"/>
        <v>63.458999999999996</v>
      </c>
      <c r="T140" s="8">
        <f t="shared" si="11"/>
        <v>0</v>
      </c>
      <c r="U140" s="8">
        <f t="shared" si="25"/>
        <v>211.53</v>
      </c>
      <c r="V140" s="8">
        <f t="shared" si="13"/>
        <v>63.458999999999996</v>
      </c>
      <c r="W140" s="8">
        <f t="shared" si="14"/>
        <v>0</v>
      </c>
      <c r="X140" s="8">
        <v>338.98</v>
      </c>
      <c r="Y140" s="8">
        <f t="shared" si="15"/>
        <v>101.694</v>
      </c>
      <c r="Z140" s="8">
        <f t="shared" si="16"/>
        <v>0</v>
      </c>
      <c r="AA140" s="8">
        <v>220.73</v>
      </c>
      <c r="AB140" s="8">
        <f t="shared" si="17"/>
        <v>66.218999999999994</v>
      </c>
      <c r="AC140" s="8">
        <f t="shared" si="18"/>
        <v>0</v>
      </c>
      <c r="AD140" s="8">
        <v>242.31</v>
      </c>
      <c r="AE140" s="8">
        <f t="shared" si="19"/>
        <v>72.692999999999998</v>
      </c>
      <c r="AF140" s="9">
        <f t="shared" si="20"/>
        <v>0</v>
      </c>
    </row>
    <row r="141" spans="1:32" ht="12.6" customHeight="1" x14ac:dyDescent="0.3">
      <c r="A141" s="6"/>
      <c r="B141" s="7" t="s">
        <v>286</v>
      </c>
      <c r="C141" s="7" t="s">
        <v>275</v>
      </c>
      <c r="D141" s="8">
        <v>376.43</v>
      </c>
      <c r="E141" s="8">
        <f t="shared" si="0"/>
        <v>112.929</v>
      </c>
      <c r="F141" s="8">
        <f t="shared" si="1"/>
        <v>0</v>
      </c>
      <c r="G141" s="8">
        <v>189.59</v>
      </c>
      <c r="H141" s="8">
        <f t="shared" si="2"/>
        <v>56.877000000000002</v>
      </c>
      <c r="I141" s="8">
        <v>209.89</v>
      </c>
      <c r="J141" s="8">
        <f t="shared" si="3"/>
        <v>62.966999999999992</v>
      </c>
      <c r="K141" s="8">
        <f t="shared" si="4"/>
        <v>0</v>
      </c>
      <c r="L141" s="8">
        <v>190.9</v>
      </c>
      <c r="M141" s="8">
        <f t="shared" si="5"/>
        <v>49.634</v>
      </c>
      <c r="N141" s="8">
        <f t="shared" si="6"/>
        <v>0</v>
      </c>
      <c r="O141" s="8"/>
      <c r="P141" s="8">
        <f t="shared" si="7"/>
        <v>0</v>
      </c>
      <c r="Q141" s="8">
        <f t="shared" si="8"/>
        <v>0</v>
      </c>
      <c r="R141" s="8">
        <f t="shared" si="24"/>
        <v>190.9</v>
      </c>
      <c r="S141" s="8">
        <f t="shared" si="10"/>
        <v>57.27</v>
      </c>
      <c r="T141" s="8">
        <f t="shared" si="11"/>
        <v>0</v>
      </c>
      <c r="U141" s="8">
        <f t="shared" si="25"/>
        <v>190.9</v>
      </c>
      <c r="V141" s="8">
        <f t="shared" si="13"/>
        <v>57.27</v>
      </c>
      <c r="W141" s="8">
        <f t="shared" si="14"/>
        <v>0</v>
      </c>
      <c r="X141" s="8">
        <v>338.98</v>
      </c>
      <c r="Y141" s="8">
        <f t="shared" si="15"/>
        <v>101.694</v>
      </c>
      <c r="Z141" s="8">
        <f t="shared" si="16"/>
        <v>0</v>
      </c>
      <c r="AA141" s="8"/>
      <c r="AB141" s="8">
        <f t="shared" si="17"/>
        <v>0</v>
      </c>
      <c r="AC141" s="8">
        <f t="shared" si="18"/>
        <v>0</v>
      </c>
      <c r="AD141" s="8">
        <v>224.96</v>
      </c>
      <c r="AE141" s="8">
        <f t="shared" si="19"/>
        <v>67.488</v>
      </c>
      <c r="AF141" s="9">
        <f t="shared" si="20"/>
        <v>0</v>
      </c>
    </row>
    <row r="142" spans="1:32" ht="12.6" customHeight="1" x14ac:dyDescent="0.3">
      <c r="A142" s="6"/>
      <c r="B142" s="7" t="s">
        <v>287</v>
      </c>
      <c r="C142" s="7" t="s">
        <v>288</v>
      </c>
      <c r="D142" s="8">
        <v>379.44</v>
      </c>
      <c r="E142" s="8">
        <f t="shared" si="0"/>
        <v>113.83199999999999</v>
      </c>
      <c r="F142" s="8">
        <f t="shared" si="1"/>
        <v>0</v>
      </c>
      <c r="G142" s="8">
        <v>165.49</v>
      </c>
      <c r="H142" s="8">
        <f t="shared" si="2"/>
        <v>49.646999999999998</v>
      </c>
      <c r="I142" s="8">
        <v>240.99</v>
      </c>
      <c r="J142" s="8">
        <f t="shared" si="3"/>
        <v>72.296999999999997</v>
      </c>
      <c r="K142" s="8">
        <f t="shared" si="4"/>
        <v>0</v>
      </c>
      <c r="L142" s="8">
        <v>218.41</v>
      </c>
      <c r="M142" s="8">
        <f t="shared" si="5"/>
        <v>56.7866</v>
      </c>
      <c r="N142" s="8">
        <f t="shared" si="6"/>
        <v>0</v>
      </c>
      <c r="O142" s="8">
        <v>215.56</v>
      </c>
      <c r="P142" s="8">
        <f t="shared" si="7"/>
        <v>64.667999999999992</v>
      </c>
      <c r="Q142" s="8">
        <f t="shared" si="8"/>
        <v>0</v>
      </c>
      <c r="R142" s="8">
        <f t="shared" si="24"/>
        <v>218.41</v>
      </c>
      <c r="S142" s="8">
        <f t="shared" si="10"/>
        <v>65.522999999999996</v>
      </c>
      <c r="T142" s="8">
        <f t="shared" si="11"/>
        <v>0</v>
      </c>
      <c r="U142" s="8">
        <f t="shared" si="25"/>
        <v>218.41</v>
      </c>
      <c r="V142" s="8">
        <f t="shared" si="13"/>
        <v>65.522999999999996</v>
      </c>
      <c r="W142" s="8">
        <f t="shared" si="14"/>
        <v>0</v>
      </c>
      <c r="X142" s="8">
        <v>376.45</v>
      </c>
      <c r="Y142" s="8">
        <f t="shared" si="15"/>
        <v>112.93499999999999</v>
      </c>
      <c r="Z142" s="8">
        <f t="shared" si="16"/>
        <v>0</v>
      </c>
      <c r="AA142" s="8">
        <v>223.97</v>
      </c>
      <c r="AB142" s="8">
        <f t="shared" si="17"/>
        <v>67.191000000000003</v>
      </c>
      <c r="AC142" s="8">
        <f t="shared" si="18"/>
        <v>0</v>
      </c>
      <c r="AD142" s="8">
        <v>253.11</v>
      </c>
      <c r="AE142" s="8">
        <f t="shared" si="19"/>
        <v>75.933000000000007</v>
      </c>
      <c r="AF142" s="9">
        <f t="shared" si="20"/>
        <v>0</v>
      </c>
    </row>
    <row r="143" spans="1:32" ht="12.6" customHeight="1" x14ac:dyDescent="0.3">
      <c r="A143" s="6"/>
      <c r="B143" s="7" t="s">
        <v>289</v>
      </c>
      <c r="C143" s="7" t="s">
        <v>290</v>
      </c>
      <c r="D143" s="8">
        <v>423.84</v>
      </c>
      <c r="E143" s="8">
        <f t="shared" si="0"/>
        <v>127.15199999999999</v>
      </c>
      <c r="F143" s="8">
        <f t="shared" si="1"/>
        <v>0</v>
      </c>
      <c r="G143" s="8">
        <v>226.74</v>
      </c>
      <c r="H143" s="8">
        <f t="shared" si="2"/>
        <v>68.022000000000006</v>
      </c>
      <c r="I143" s="8">
        <v>227.18</v>
      </c>
      <c r="J143" s="8">
        <f t="shared" si="3"/>
        <v>68.153999999999996</v>
      </c>
      <c r="K143" s="8">
        <f t="shared" si="4"/>
        <v>0</v>
      </c>
      <c r="L143" s="8">
        <v>202.03</v>
      </c>
      <c r="M143" s="8">
        <f t="shared" si="5"/>
        <v>52.527799999999999</v>
      </c>
      <c r="N143" s="8">
        <f t="shared" si="6"/>
        <v>0</v>
      </c>
      <c r="O143" s="8"/>
      <c r="P143" s="8">
        <f t="shared" si="7"/>
        <v>0</v>
      </c>
      <c r="Q143" s="8">
        <f t="shared" si="8"/>
        <v>0</v>
      </c>
      <c r="R143" s="8">
        <f t="shared" si="24"/>
        <v>202.03</v>
      </c>
      <c r="S143" s="8">
        <f t="shared" si="10"/>
        <v>60.608999999999995</v>
      </c>
      <c r="T143" s="8">
        <f t="shared" si="11"/>
        <v>0</v>
      </c>
      <c r="U143" s="8">
        <f t="shared" si="25"/>
        <v>202.03</v>
      </c>
      <c r="V143" s="8">
        <f t="shared" si="13"/>
        <v>60.608999999999995</v>
      </c>
      <c r="W143" s="8">
        <f t="shared" si="14"/>
        <v>0</v>
      </c>
      <c r="X143" s="8">
        <v>376.45</v>
      </c>
      <c r="Y143" s="8">
        <f t="shared" si="15"/>
        <v>112.93499999999999</v>
      </c>
      <c r="Z143" s="8">
        <f t="shared" si="16"/>
        <v>0</v>
      </c>
      <c r="AA143" s="8"/>
      <c r="AB143" s="8">
        <f t="shared" si="17"/>
        <v>0</v>
      </c>
      <c r="AC143" s="8">
        <f t="shared" si="18"/>
        <v>0</v>
      </c>
      <c r="AD143" s="8">
        <v>240.21</v>
      </c>
      <c r="AE143" s="8">
        <f t="shared" si="19"/>
        <v>72.063000000000002</v>
      </c>
      <c r="AF143" s="9">
        <f t="shared" si="20"/>
        <v>0</v>
      </c>
    </row>
    <row r="144" spans="1:32" ht="12.6" customHeight="1" x14ac:dyDescent="0.3">
      <c r="A144" s="6"/>
      <c r="B144" s="7" t="s">
        <v>291</v>
      </c>
      <c r="C144" s="7" t="s">
        <v>292</v>
      </c>
      <c r="D144" s="8">
        <v>445.03</v>
      </c>
      <c r="E144" s="8">
        <f t="shared" si="0"/>
        <v>133.50899999999999</v>
      </c>
      <c r="F144" s="8">
        <f t="shared" si="1"/>
        <v>0</v>
      </c>
      <c r="G144" s="8">
        <v>203.28</v>
      </c>
      <c r="H144" s="8">
        <f t="shared" si="2"/>
        <v>60.983999999999995</v>
      </c>
      <c r="I144" s="8">
        <v>274.72000000000003</v>
      </c>
      <c r="J144" s="8">
        <f t="shared" si="3"/>
        <v>82.416000000000011</v>
      </c>
      <c r="K144" s="8">
        <f t="shared" si="4"/>
        <v>0</v>
      </c>
      <c r="L144" s="8">
        <v>247.22</v>
      </c>
      <c r="M144" s="8">
        <f t="shared" si="5"/>
        <v>64.277200000000008</v>
      </c>
      <c r="N144" s="8">
        <f t="shared" si="6"/>
        <v>0</v>
      </c>
      <c r="O144" s="8">
        <v>244.03</v>
      </c>
      <c r="P144" s="8">
        <f t="shared" si="7"/>
        <v>73.209000000000003</v>
      </c>
      <c r="Q144" s="8">
        <f t="shared" si="8"/>
        <v>0</v>
      </c>
      <c r="R144" s="8">
        <f t="shared" si="24"/>
        <v>247.22</v>
      </c>
      <c r="S144" s="8">
        <f t="shared" si="10"/>
        <v>74.165999999999997</v>
      </c>
      <c r="T144" s="8">
        <f t="shared" si="11"/>
        <v>0</v>
      </c>
      <c r="U144" s="8">
        <f t="shared" si="25"/>
        <v>247.22</v>
      </c>
      <c r="V144" s="8">
        <f t="shared" si="13"/>
        <v>74.165999999999997</v>
      </c>
      <c r="W144" s="8">
        <f t="shared" si="14"/>
        <v>0</v>
      </c>
      <c r="X144" s="8">
        <v>450.4</v>
      </c>
      <c r="Y144" s="8">
        <f t="shared" si="15"/>
        <v>135.11999999999998</v>
      </c>
      <c r="Z144" s="8">
        <f t="shared" si="16"/>
        <v>0</v>
      </c>
      <c r="AA144" s="8">
        <v>276.16000000000003</v>
      </c>
      <c r="AB144" s="8">
        <f t="shared" si="17"/>
        <v>82.847999999999999</v>
      </c>
      <c r="AC144" s="8">
        <f t="shared" si="18"/>
        <v>0</v>
      </c>
      <c r="AD144" s="8">
        <v>300.92</v>
      </c>
      <c r="AE144" s="8">
        <f t="shared" si="19"/>
        <v>90.275999999999996</v>
      </c>
      <c r="AF144" s="9">
        <f t="shared" si="20"/>
        <v>0</v>
      </c>
    </row>
    <row r="145" spans="1:32" ht="12.6" customHeight="1" x14ac:dyDescent="0.3">
      <c r="A145" s="6"/>
      <c r="B145" s="7" t="s">
        <v>293</v>
      </c>
      <c r="C145" s="7" t="s">
        <v>294</v>
      </c>
      <c r="D145" s="8">
        <v>512.04999999999995</v>
      </c>
      <c r="E145" s="8">
        <f t="shared" si="0"/>
        <v>153.61499999999998</v>
      </c>
      <c r="F145" s="8">
        <f t="shared" si="1"/>
        <v>0</v>
      </c>
      <c r="G145" s="8">
        <v>228.43</v>
      </c>
      <c r="H145" s="8">
        <f t="shared" si="2"/>
        <v>68.528999999999996</v>
      </c>
      <c r="I145" s="8">
        <v>310.08</v>
      </c>
      <c r="J145" s="8">
        <f t="shared" si="3"/>
        <v>93.023999999999987</v>
      </c>
      <c r="K145" s="8">
        <f t="shared" si="4"/>
        <v>0</v>
      </c>
      <c r="L145" s="8">
        <v>288.81</v>
      </c>
      <c r="M145" s="8">
        <f t="shared" si="5"/>
        <v>75.090600000000009</v>
      </c>
      <c r="N145" s="8">
        <f t="shared" si="6"/>
        <v>0</v>
      </c>
      <c r="O145" s="8">
        <v>285.08999999999997</v>
      </c>
      <c r="P145" s="8">
        <f t="shared" si="7"/>
        <v>85.526999999999987</v>
      </c>
      <c r="Q145" s="8">
        <f t="shared" si="8"/>
        <v>0</v>
      </c>
      <c r="R145" s="8">
        <f t="shared" si="24"/>
        <v>288.81</v>
      </c>
      <c r="S145" s="8">
        <f t="shared" si="10"/>
        <v>86.643000000000001</v>
      </c>
      <c r="T145" s="8">
        <f t="shared" si="11"/>
        <v>0</v>
      </c>
      <c r="U145" s="8">
        <f t="shared" si="25"/>
        <v>288.81</v>
      </c>
      <c r="V145" s="8">
        <f t="shared" si="13"/>
        <v>86.643000000000001</v>
      </c>
      <c r="W145" s="8">
        <f t="shared" si="14"/>
        <v>0</v>
      </c>
      <c r="X145" s="8">
        <v>524.35</v>
      </c>
      <c r="Y145" s="8">
        <f t="shared" si="15"/>
        <v>157.30500000000001</v>
      </c>
      <c r="Z145" s="8">
        <f t="shared" si="16"/>
        <v>0</v>
      </c>
      <c r="AA145" s="8">
        <v>303.25</v>
      </c>
      <c r="AB145" s="8">
        <f t="shared" si="17"/>
        <v>90.974999999999994</v>
      </c>
      <c r="AC145" s="8">
        <f t="shared" si="18"/>
        <v>0</v>
      </c>
      <c r="AD145" s="8">
        <v>335.5</v>
      </c>
      <c r="AE145" s="8">
        <f t="shared" si="19"/>
        <v>100.64999999999999</v>
      </c>
      <c r="AF145" s="9">
        <f t="shared" si="20"/>
        <v>0</v>
      </c>
    </row>
    <row r="146" spans="1:32" ht="12.6" customHeight="1" x14ac:dyDescent="0.3">
      <c r="A146" s="6"/>
      <c r="B146" s="7" t="s">
        <v>295</v>
      </c>
      <c r="C146" s="7" t="s">
        <v>296</v>
      </c>
      <c r="D146" s="8">
        <v>569.29</v>
      </c>
      <c r="E146" s="8">
        <f t="shared" si="0"/>
        <v>170.78699999999998</v>
      </c>
      <c r="F146" s="8">
        <f t="shared" si="1"/>
        <v>0</v>
      </c>
      <c r="G146" s="8">
        <v>281.27</v>
      </c>
      <c r="H146" s="8">
        <f t="shared" si="2"/>
        <v>84.380999999999986</v>
      </c>
      <c r="I146" s="8">
        <v>328.42</v>
      </c>
      <c r="J146" s="8">
        <f t="shared" si="3"/>
        <v>98.525999999999996</v>
      </c>
      <c r="K146" s="8">
        <f t="shared" si="4"/>
        <v>0</v>
      </c>
      <c r="L146" s="8">
        <v>295.02999999999997</v>
      </c>
      <c r="M146" s="8">
        <f t="shared" si="5"/>
        <v>76.707799999999992</v>
      </c>
      <c r="N146" s="8">
        <f t="shared" si="6"/>
        <v>0</v>
      </c>
      <c r="O146" s="8">
        <v>291.23</v>
      </c>
      <c r="P146" s="8">
        <f t="shared" si="7"/>
        <v>87.369</v>
      </c>
      <c r="Q146" s="8">
        <f t="shared" si="8"/>
        <v>0</v>
      </c>
      <c r="R146" s="8">
        <f t="shared" si="24"/>
        <v>295.02999999999997</v>
      </c>
      <c r="S146" s="8">
        <f t="shared" si="10"/>
        <v>88.508999999999986</v>
      </c>
      <c r="T146" s="8">
        <f t="shared" si="11"/>
        <v>0</v>
      </c>
      <c r="U146" s="8">
        <f t="shared" si="25"/>
        <v>295.02999999999997</v>
      </c>
      <c r="V146" s="8">
        <f t="shared" si="13"/>
        <v>88.508999999999986</v>
      </c>
      <c r="W146" s="8">
        <f t="shared" si="14"/>
        <v>0</v>
      </c>
      <c r="X146" s="8">
        <v>598.78</v>
      </c>
      <c r="Y146" s="8">
        <f t="shared" si="15"/>
        <v>179.63399999999999</v>
      </c>
      <c r="Z146" s="8">
        <f t="shared" si="16"/>
        <v>0</v>
      </c>
      <c r="AA146" s="8">
        <v>308.68</v>
      </c>
      <c r="AB146" s="8">
        <f t="shared" si="17"/>
        <v>92.603999999999999</v>
      </c>
      <c r="AC146" s="8">
        <f t="shared" si="18"/>
        <v>0</v>
      </c>
      <c r="AD146" s="8">
        <v>344.8</v>
      </c>
      <c r="AE146" s="8">
        <f t="shared" si="19"/>
        <v>103.44</v>
      </c>
      <c r="AF146" s="9">
        <f t="shared" si="20"/>
        <v>0</v>
      </c>
    </row>
    <row r="147" spans="1:32" ht="12.6" customHeight="1" x14ac:dyDescent="0.3">
      <c r="A147" s="6"/>
      <c r="B147" s="7" t="s">
        <v>297</v>
      </c>
      <c r="C147" s="7" t="s">
        <v>298</v>
      </c>
      <c r="D147" s="8">
        <v>372.11</v>
      </c>
      <c r="E147" s="8">
        <f t="shared" si="0"/>
        <v>111.633</v>
      </c>
      <c r="F147" s="8">
        <f t="shared" si="1"/>
        <v>0</v>
      </c>
      <c r="G147" s="8">
        <v>175.84</v>
      </c>
      <c r="H147" s="8">
        <f t="shared" si="2"/>
        <v>52.752000000000002</v>
      </c>
      <c r="I147" s="8">
        <v>219.8</v>
      </c>
      <c r="J147" s="8">
        <f t="shared" si="3"/>
        <v>65.94</v>
      </c>
      <c r="K147" s="8">
        <f t="shared" si="4"/>
        <v>0</v>
      </c>
      <c r="L147" s="8">
        <v>200.32</v>
      </c>
      <c r="M147" s="8">
        <f t="shared" si="5"/>
        <v>52.083199999999998</v>
      </c>
      <c r="N147" s="8">
        <f t="shared" si="6"/>
        <v>0</v>
      </c>
      <c r="O147" s="8">
        <v>197.78</v>
      </c>
      <c r="P147" s="8">
        <f t="shared" si="7"/>
        <v>59.333999999999996</v>
      </c>
      <c r="Q147" s="8">
        <f t="shared" si="8"/>
        <v>0</v>
      </c>
      <c r="R147" s="8">
        <f t="shared" si="24"/>
        <v>200.32</v>
      </c>
      <c r="S147" s="8">
        <f t="shared" si="10"/>
        <v>60.095999999999997</v>
      </c>
      <c r="T147" s="8">
        <f t="shared" si="11"/>
        <v>0</v>
      </c>
      <c r="U147" s="8">
        <f t="shared" si="25"/>
        <v>200.32</v>
      </c>
      <c r="V147" s="8">
        <f t="shared" si="13"/>
        <v>60.095999999999997</v>
      </c>
      <c r="W147" s="8">
        <f t="shared" si="14"/>
        <v>0</v>
      </c>
      <c r="X147" s="8">
        <v>283.42</v>
      </c>
      <c r="Y147" s="8">
        <f t="shared" si="15"/>
        <v>85.025999999999996</v>
      </c>
      <c r="Z147" s="8">
        <f t="shared" si="16"/>
        <v>0</v>
      </c>
      <c r="AA147" s="8">
        <v>211.74</v>
      </c>
      <c r="AB147" s="8">
        <f t="shared" si="17"/>
        <v>63.521999999999998</v>
      </c>
      <c r="AC147" s="8">
        <f t="shared" si="18"/>
        <v>0</v>
      </c>
      <c r="AD147" s="8">
        <v>238.74</v>
      </c>
      <c r="AE147" s="8">
        <f t="shared" si="19"/>
        <v>71.622</v>
      </c>
      <c r="AF147" s="9">
        <f t="shared" si="20"/>
        <v>0</v>
      </c>
    </row>
    <row r="148" spans="1:32" ht="12.6" customHeight="1" x14ac:dyDescent="0.3">
      <c r="A148" s="6"/>
      <c r="B148" s="7" t="s">
        <v>299</v>
      </c>
      <c r="C148" s="7" t="s">
        <v>300</v>
      </c>
      <c r="D148" s="8">
        <v>401.31</v>
      </c>
      <c r="E148" s="8">
        <f t="shared" si="0"/>
        <v>120.393</v>
      </c>
      <c r="F148" s="8">
        <f t="shared" si="1"/>
        <v>0</v>
      </c>
      <c r="G148" s="8">
        <v>196.66</v>
      </c>
      <c r="H148" s="8">
        <f t="shared" si="2"/>
        <v>58.997999999999998</v>
      </c>
      <c r="I148" s="8">
        <v>225.35</v>
      </c>
      <c r="J148" s="8">
        <f t="shared" si="3"/>
        <v>67.60499999999999</v>
      </c>
      <c r="K148" s="8">
        <f t="shared" si="4"/>
        <v>0</v>
      </c>
      <c r="L148" s="8">
        <v>209.89</v>
      </c>
      <c r="M148" s="8">
        <f t="shared" si="5"/>
        <v>54.571399999999997</v>
      </c>
      <c r="N148" s="8">
        <f t="shared" si="6"/>
        <v>0</v>
      </c>
      <c r="O148" s="8">
        <v>207.18</v>
      </c>
      <c r="P148" s="8">
        <f t="shared" si="7"/>
        <v>62.153999999999996</v>
      </c>
      <c r="Q148" s="8">
        <f t="shared" si="8"/>
        <v>0</v>
      </c>
      <c r="R148" s="8">
        <f t="shared" si="24"/>
        <v>209.89</v>
      </c>
      <c r="S148" s="8">
        <f t="shared" si="10"/>
        <v>62.966999999999992</v>
      </c>
      <c r="T148" s="8">
        <f t="shared" si="11"/>
        <v>0</v>
      </c>
      <c r="U148" s="8">
        <f t="shared" si="25"/>
        <v>209.89</v>
      </c>
      <c r="V148" s="8">
        <f t="shared" si="13"/>
        <v>62.966999999999992</v>
      </c>
      <c r="W148" s="8">
        <f t="shared" si="14"/>
        <v>0</v>
      </c>
      <c r="X148" s="8">
        <v>332.49</v>
      </c>
      <c r="Y148" s="8">
        <f t="shared" si="15"/>
        <v>99.747</v>
      </c>
      <c r="Z148" s="8">
        <f t="shared" si="16"/>
        <v>0</v>
      </c>
      <c r="AA148" s="8">
        <v>221.48</v>
      </c>
      <c r="AB148" s="8">
        <f t="shared" si="17"/>
        <v>66.443999999999988</v>
      </c>
      <c r="AC148" s="8">
        <f t="shared" si="18"/>
        <v>0</v>
      </c>
      <c r="AD148" s="8">
        <v>245.15</v>
      </c>
      <c r="AE148" s="8">
        <f t="shared" si="19"/>
        <v>73.545000000000002</v>
      </c>
      <c r="AF148" s="9">
        <f t="shared" si="20"/>
        <v>0</v>
      </c>
    </row>
    <row r="149" spans="1:32" ht="12.6" customHeight="1" x14ac:dyDescent="0.3">
      <c r="A149" s="6"/>
      <c r="B149" s="7" t="s">
        <v>301</v>
      </c>
      <c r="C149" s="7" t="s">
        <v>302</v>
      </c>
      <c r="D149" s="8">
        <v>420.43</v>
      </c>
      <c r="E149" s="8">
        <f t="shared" si="0"/>
        <v>126.12899999999999</v>
      </c>
      <c r="F149" s="8">
        <f t="shared" si="1"/>
        <v>0</v>
      </c>
      <c r="G149" s="8">
        <v>206.74</v>
      </c>
      <c r="H149" s="8">
        <f t="shared" si="2"/>
        <v>62.021999999999998</v>
      </c>
      <c r="I149" s="8">
        <v>243.28</v>
      </c>
      <c r="J149" s="8">
        <f t="shared" si="3"/>
        <v>72.983999999999995</v>
      </c>
      <c r="K149" s="8">
        <f t="shared" si="4"/>
        <v>0</v>
      </c>
      <c r="L149" s="8">
        <v>218.41</v>
      </c>
      <c r="M149" s="8">
        <f t="shared" si="5"/>
        <v>56.7866</v>
      </c>
      <c r="N149" s="8">
        <f t="shared" si="6"/>
        <v>0</v>
      </c>
      <c r="O149" s="8">
        <v>215.56</v>
      </c>
      <c r="P149" s="8">
        <f t="shared" si="7"/>
        <v>64.667999999999992</v>
      </c>
      <c r="Q149" s="8">
        <f t="shared" si="8"/>
        <v>0</v>
      </c>
      <c r="R149" s="8">
        <f t="shared" si="24"/>
        <v>218.41</v>
      </c>
      <c r="S149" s="8">
        <f t="shared" si="10"/>
        <v>65.522999999999996</v>
      </c>
      <c r="T149" s="8">
        <f t="shared" si="11"/>
        <v>0</v>
      </c>
      <c r="U149" s="8">
        <f t="shared" si="25"/>
        <v>218.41</v>
      </c>
      <c r="V149" s="8">
        <f t="shared" si="13"/>
        <v>65.522999999999996</v>
      </c>
      <c r="W149" s="8">
        <f t="shared" si="14"/>
        <v>0</v>
      </c>
      <c r="X149" s="8">
        <v>381.88</v>
      </c>
      <c r="Y149" s="8">
        <f t="shared" si="15"/>
        <v>114.56399999999999</v>
      </c>
      <c r="Z149" s="8">
        <f t="shared" si="16"/>
        <v>0</v>
      </c>
      <c r="AA149" s="8">
        <v>238.89</v>
      </c>
      <c r="AB149" s="8">
        <f t="shared" si="17"/>
        <v>71.666999999999987</v>
      </c>
      <c r="AC149" s="8">
        <f t="shared" si="18"/>
        <v>0</v>
      </c>
      <c r="AD149" s="8">
        <v>256.39</v>
      </c>
      <c r="AE149" s="8">
        <f t="shared" si="19"/>
        <v>76.916999999999987</v>
      </c>
      <c r="AF149" s="9">
        <f t="shared" si="20"/>
        <v>0</v>
      </c>
    </row>
    <row r="150" spans="1:32" ht="12.6" customHeight="1" x14ac:dyDescent="0.3">
      <c r="A150" s="6"/>
      <c r="B150" s="7" t="s">
        <v>303</v>
      </c>
      <c r="C150" s="7" t="s">
        <v>304</v>
      </c>
      <c r="D150" s="8">
        <v>428.36</v>
      </c>
      <c r="E150" s="8">
        <f t="shared" si="0"/>
        <v>128.50800000000001</v>
      </c>
      <c r="F150" s="8">
        <f t="shared" si="1"/>
        <v>0</v>
      </c>
      <c r="G150" s="8">
        <v>258.35000000000002</v>
      </c>
      <c r="H150" s="8">
        <f t="shared" si="2"/>
        <v>77.50500000000001</v>
      </c>
      <c r="I150" s="8">
        <v>201.05</v>
      </c>
      <c r="J150" s="8">
        <f t="shared" si="3"/>
        <v>60.314999999999998</v>
      </c>
      <c r="K150" s="8">
        <f t="shared" si="4"/>
        <v>0</v>
      </c>
      <c r="L150" s="8">
        <v>174.53</v>
      </c>
      <c r="M150" s="8">
        <f t="shared" si="5"/>
        <v>45.377800000000001</v>
      </c>
      <c r="N150" s="8">
        <f t="shared" si="6"/>
        <v>0</v>
      </c>
      <c r="O150" s="8">
        <v>172.26</v>
      </c>
      <c r="P150" s="8">
        <f t="shared" si="7"/>
        <v>51.677999999999997</v>
      </c>
      <c r="Q150" s="8">
        <f t="shared" si="8"/>
        <v>0</v>
      </c>
      <c r="R150" s="8">
        <f t="shared" si="24"/>
        <v>174.53</v>
      </c>
      <c r="S150" s="8">
        <f t="shared" si="10"/>
        <v>52.359000000000002</v>
      </c>
      <c r="T150" s="8">
        <f t="shared" si="11"/>
        <v>0</v>
      </c>
      <c r="U150" s="8">
        <f t="shared" si="25"/>
        <v>174.53</v>
      </c>
      <c r="V150" s="8">
        <f t="shared" si="13"/>
        <v>52.359000000000002</v>
      </c>
      <c r="W150" s="8">
        <f t="shared" si="14"/>
        <v>0</v>
      </c>
      <c r="X150" s="8">
        <v>249.85</v>
      </c>
      <c r="Y150" s="8">
        <f t="shared" si="15"/>
        <v>74.954999999999998</v>
      </c>
      <c r="Z150" s="8">
        <f t="shared" si="16"/>
        <v>0</v>
      </c>
      <c r="AA150" s="8">
        <v>184.61</v>
      </c>
      <c r="AB150" s="8">
        <f t="shared" si="17"/>
        <v>55.383000000000003</v>
      </c>
      <c r="AC150" s="8">
        <f t="shared" si="18"/>
        <v>0</v>
      </c>
      <c r="AD150" s="8">
        <v>213.95</v>
      </c>
      <c r="AE150" s="8">
        <f t="shared" si="19"/>
        <v>64.184999999999988</v>
      </c>
      <c r="AF150" s="9">
        <f t="shared" si="20"/>
        <v>0</v>
      </c>
    </row>
    <row r="151" spans="1:32" ht="12.6" customHeight="1" x14ac:dyDescent="0.3">
      <c r="A151" s="6"/>
      <c r="B151" s="7" t="s">
        <v>305</v>
      </c>
      <c r="C151" s="7" t="s">
        <v>306</v>
      </c>
      <c r="D151" s="8">
        <v>470.99</v>
      </c>
      <c r="E151" s="8">
        <f t="shared" si="0"/>
        <v>141.297</v>
      </c>
      <c r="F151" s="8">
        <f t="shared" si="1"/>
        <v>0</v>
      </c>
      <c r="G151" s="8">
        <v>291.04000000000002</v>
      </c>
      <c r="H151" s="8">
        <f t="shared" si="2"/>
        <v>87.311999999999998</v>
      </c>
      <c r="I151" s="8">
        <v>213.82</v>
      </c>
      <c r="J151" s="8">
        <f t="shared" si="3"/>
        <v>64.146000000000001</v>
      </c>
      <c r="K151" s="8">
        <f t="shared" si="4"/>
        <v>0</v>
      </c>
      <c r="L151" s="8">
        <v>185.66</v>
      </c>
      <c r="M151" s="8">
        <f t="shared" si="5"/>
        <v>48.271599999999999</v>
      </c>
      <c r="N151" s="8">
        <f t="shared" si="6"/>
        <v>0</v>
      </c>
      <c r="O151" s="8">
        <v>183.31</v>
      </c>
      <c r="P151" s="8">
        <f t="shared" si="7"/>
        <v>54.993000000000002</v>
      </c>
      <c r="Q151" s="8">
        <f t="shared" si="8"/>
        <v>0</v>
      </c>
      <c r="R151" s="8">
        <f t="shared" si="24"/>
        <v>185.66</v>
      </c>
      <c r="S151" s="8">
        <f t="shared" si="10"/>
        <v>55.698</v>
      </c>
      <c r="T151" s="8">
        <f t="shared" si="11"/>
        <v>0</v>
      </c>
      <c r="U151" s="8">
        <f t="shared" si="25"/>
        <v>185.66</v>
      </c>
      <c r="V151" s="8">
        <f t="shared" si="13"/>
        <v>55.698</v>
      </c>
      <c r="W151" s="8">
        <f t="shared" si="14"/>
        <v>0</v>
      </c>
      <c r="X151" s="8">
        <v>293.31</v>
      </c>
      <c r="Y151" s="8">
        <f t="shared" si="15"/>
        <v>87.992999999999995</v>
      </c>
      <c r="Z151" s="8">
        <f t="shared" si="16"/>
        <v>0</v>
      </c>
      <c r="AA151" s="8">
        <v>202.16</v>
      </c>
      <c r="AB151" s="8">
        <f t="shared" si="17"/>
        <v>60.647999999999996</v>
      </c>
      <c r="AC151" s="8">
        <f t="shared" si="18"/>
        <v>0</v>
      </c>
      <c r="AD151" s="8">
        <v>228.16</v>
      </c>
      <c r="AE151" s="8">
        <f t="shared" si="19"/>
        <v>68.447999999999993</v>
      </c>
      <c r="AF151" s="9">
        <f t="shared" si="20"/>
        <v>0</v>
      </c>
    </row>
    <row r="152" spans="1:32" ht="12.6" customHeight="1" x14ac:dyDescent="0.3">
      <c r="A152" s="6"/>
      <c r="B152" s="7" t="s">
        <v>307</v>
      </c>
      <c r="C152" s="7" t="s">
        <v>308</v>
      </c>
      <c r="D152" s="8">
        <v>504.59</v>
      </c>
      <c r="E152" s="8">
        <f t="shared" si="0"/>
        <v>151.37699999999998</v>
      </c>
      <c r="F152" s="8">
        <f t="shared" si="1"/>
        <v>0</v>
      </c>
      <c r="G152" s="8">
        <v>300.2</v>
      </c>
      <c r="H152" s="8">
        <f t="shared" si="2"/>
        <v>90.059999999999988</v>
      </c>
      <c r="I152" s="8">
        <v>241.13</v>
      </c>
      <c r="J152" s="8">
        <f t="shared" si="3"/>
        <v>72.338999999999999</v>
      </c>
      <c r="K152" s="8">
        <f t="shared" si="4"/>
        <v>0</v>
      </c>
      <c r="L152" s="8">
        <v>210.54</v>
      </c>
      <c r="M152" s="8">
        <f t="shared" si="5"/>
        <v>54.740400000000001</v>
      </c>
      <c r="N152" s="8">
        <f t="shared" si="6"/>
        <v>0</v>
      </c>
      <c r="O152" s="8">
        <v>207.87</v>
      </c>
      <c r="P152" s="8">
        <f t="shared" si="7"/>
        <v>62.360999999999997</v>
      </c>
      <c r="Q152" s="8">
        <f t="shared" si="8"/>
        <v>0</v>
      </c>
      <c r="R152" s="8">
        <f t="shared" si="24"/>
        <v>210.54</v>
      </c>
      <c r="S152" s="8">
        <f t="shared" si="10"/>
        <v>63.161999999999992</v>
      </c>
      <c r="T152" s="8">
        <f t="shared" si="11"/>
        <v>0</v>
      </c>
      <c r="U152" s="8">
        <f t="shared" si="25"/>
        <v>210.54</v>
      </c>
      <c r="V152" s="8">
        <f t="shared" si="13"/>
        <v>63.161999999999992</v>
      </c>
      <c r="W152" s="8">
        <f t="shared" si="14"/>
        <v>0</v>
      </c>
      <c r="X152" s="8">
        <v>337.06</v>
      </c>
      <c r="Y152" s="8">
        <f t="shared" si="15"/>
        <v>101.11799999999999</v>
      </c>
      <c r="Z152" s="8">
        <f t="shared" si="16"/>
        <v>0</v>
      </c>
      <c r="AA152" s="8">
        <v>223.82</v>
      </c>
      <c r="AB152" s="8">
        <f t="shared" si="17"/>
        <v>67.146000000000001</v>
      </c>
      <c r="AC152" s="8">
        <f t="shared" si="18"/>
        <v>0</v>
      </c>
      <c r="AD152" s="8">
        <v>255.73</v>
      </c>
      <c r="AE152" s="8">
        <f t="shared" si="19"/>
        <v>76.718999999999994</v>
      </c>
      <c r="AF152" s="9">
        <f t="shared" si="20"/>
        <v>0</v>
      </c>
    </row>
    <row r="153" spans="1:32" ht="12.6" customHeight="1" x14ac:dyDescent="0.3">
      <c r="A153" s="6"/>
      <c r="B153" s="7" t="s">
        <v>309</v>
      </c>
      <c r="C153" s="7" t="s">
        <v>310</v>
      </c>
      <c r="D153" s="8">
        <v>338.84</v>
      </c>
      <c r="E153" s="8">
        <f t="shared" si="0"/>
        <v>101.65199999999999</v>
      </c>
      <c r="F153" s="8">
        <f t="shared" si="1"/>
        <v>0</v>
      </c>
      <c r="G153" s="8"/>
      <c r="H153" s="8">
        <f t="shared" si="2"/>
        <v>0</v>
      </c>
      <c r="I153" s="8"/>
      <c r="J153" s="8">
        <f t="shared" si="3"/>
        <v>0</v>
      </c>
      <c r="K153" s="8">
        <f t="shared" si="4"/>
        <v>0</v>
      </c>
      <c r="L153" s="8"/>
      <c r="M153" s="8">
        <f t="shared" si="5"/>
        <v>0</v>
      </c>
      <c r="N153" s="8">
        <f t="shared" si="6"/>
        <v>0</v>
      </c>
      <c r="O153" s="8"/>
      <c r="P153" s="8">
        <f t="shared" si="7"/>
        <v>0</v>
      </c>
      <c r="Q153" s="8">
        <f t="shared" si="8"/>
        <v>0</v>
      </c>
      <c r="R153" s="8">
        <f t="shared" si="24"/>
        <v>0</v>
      </c>
      <c r="S153" s="8">
        <f t="shared" si="10"/>
        <v>0</v>
      </c>
      <c r="T153" s="8">
        <f t="shared" si="11"/>
        <v>0</v>
      </c>
      <c r="U153" s="8">
        <f t="shared" si="25"/>
        <v>0</v>
      </c>
      <c r="V153" s="8">
        <f t="shared" si="13"/>
        <v>0</v>
      </c>
      <c r="W153" s="8">
        <f t="shared" si="14"/>
        <v>0</v>
      </c>
      <c r="X153" s="8"/>
      <c r="Y153" s="8">
        <f t="shared" si="15"/>
        <v>0</v>
      </c>
      <c r="Z153" s="8">
        <f t="shared" si="16"/>
        <v>0</v>
      </c>
      <c r="AA153" s="8"/>
      <c r="AB153" s="8">
        <f t="shared" si="17"/>
        <v>0</v>
      </c>
      <c r="AC153" s="8">
        <f t="shared" si="18"/>
        <v>0</v>
      </c>
      <c r="AD153" s="8"/>
      <c r="AE153" s="8">
        <f t="shared" si="19"/>
        <v>0</v>
      </c>
      <c r="AF153" s="9">
        <f t="shared" si="20"/>
        <v>0</v>
      </c>
    </row>
    <row r="154" spans="1:32" ht="12.6" customHeight="1" x14ac:dyDescent="0.3">
      <c r="A154" s="6"/>
      <c r="B154" s="7" t="s">
        <v>311</v>
      </c>
      <c r="C154" s="7" t="s">
        <v>312</v>
      </c>
      <c r="D154" s="8">
        <v>362.05</v>
      </c>
      <c r="E154" s="8">
        <f t="shared" si="0"/>
        <v>108.61499999999999</v>
      </c>
      <c r="F154" s="8">
        <f t="shared" si="1"/>
        <v>0</v>
      </c>
      <c r="G154" s="8"/>
      <c r="H154" s="8">
        <f t="shared" si="2"/>
        <v>0</v>
      </c>
      <c r="I154" s="8"/>
      <c r="J154" s="8">
        <f t="shared" si="3"/>
        <v>0</v>
      </c>
      <c r="K154" s="8">
        <f t="shared" si="4"/>
        <v>0</v>
      </c>
      <c r="L154" s="8"/>
      <c r="M154" s="8">
        <f t="shared" si="5"/>
        <v>0</v>
      </c>
      <c r="N154" s="8">
        <f t="shared" si="6"/>
        <v>0</v>
      </c>
      <c r="O154" s="8"/>
      <c r="P154" s="8">
        <f t="shared" si="7"/>
        <v>0</v>
      </c>
      <c r="Q154" s="8">
        <f t="shared" si="8"/>
        <v>0</v>
      </c>
      <c r="R154" s="8">
        <f t="shared" si="24"/>
        <v>0</v>
      </c>
      <c r="S154" s="8">
        <f t="shared" si="10"/>
        <v>0</v>
      </c>
      <c r="T154" s="8">
        <f t="shared" si="11"/>
        <v>0</v>
      </c>
      <c r="U154" s="8">
        <f t="shared" si="25"/>
        <v>0</v>
      </c>
      <c r="V154" s="8">
        <f t="shared" si="13"/>
        <v>0</v>
      </c>
      <c r="W154" s="8">
        <f t="shared" si="14"/>
        <v>0</v>
      </c>
      <c r="X154" s="8"/>
      <c r="Y154" s="8">
        <f t="shared" si="15"/>
        <v>0</v>
      </c>
      <c r="Z154" s="8">
        <f t="shared" si="16"/>
        <v>0</v>
      </c>
      <c r="AA154" s="8"/>
      <c r="AB154" s="8">
        <f t="shared" si="17"/>
        <v>0</v>
      </c>
      <c r="AC154" s="8">
        <f t="shared" si="18"/>
        <v>0</v>
      </c>
      <c r="AD154" s="8"/>
      <c r="AE154" s="8">
        <f t="shared" si="19"/>
        <v>0</v>
      </c>
      <c r="AF154" s="9">
        <f t="shared" si="20"/>
        <v>0</v>
      </c>
    </row>
    <row r="155" spans="1:32" ht="12.6" customHeight="1" x14ac:dyDescent="0.3">
      <c r="A155" s="6"/>
      <c r="B155" s="7" t="s">
        <v>313</v>
      </c>
      <c r="C155" s="7" t="s">
        <v>314</v>
      </c>
      <c r="D155" s="8">
        <v>438.62</v>
      </c>
      <c r="E155" s="8">
        <f t="shared" si="0"/>
        <v>131.58599999999998</v>
      </c>
      <c r="F155" s="8">
        <f t="shared" si="1"/>
        <v>0</v>
      </c>
      <c r="G155" s="8"/>
      <c r="H155" s="8">
        <f t="shared" si="2"/>
        <v>0</v>
      </c>
      <c r="I155" s="8"/>
      <c r="J155" s="8">
        <f t="shared" si="3"/>
        <v>0</v>
      </c>
      <c r="K155" s="8">
        <f t="shared" si="4"/>
        <v>0</v>
      </c>
      <c r="L155" s="8"/>
      <c r="M155" s="8">
        <f t="shared" si="5"/>
        <v>0</v>
      </c>
      <c r="N155" s="8">
        <f t="shared" si="6"/>
        <v>0</v>
      </c>
      <c r="O155" s="8"/>
      <c r="P155" s="8">
        <f t="shared" si="7"/>
        <v>0</v>
      </c>
      <c r="Q155" s="8">
        <f t="shared" si="8"/>
        <v>0</v>
      </c>
      <c r="R155" s="8">
        <f t="shared" si="24"/>
        <v>0</v>
      </c>
      <c r="S155" s="8">
        <f t="shared" si="10"/>
        <v>0</v>
      </c>
      <c r="T155" s="8">
        <f t="shared" si="11"/>
        <v>0</v>
      </c>
      <c r="U155" s="8">
        <f t="shared" si="25"/>
        <v>0</v>
      </c>
      <c r="V155" s="8">
        <f t="shared" si="13"/>
        <v>0</v>
      </c>
      <c r="W155" s="8">
        <f t="shared" si="14"/>
        <v>0</v>
      </c>
      <c r="X155" s="8"/>
      <c r="Y155" s="8">
        <f t="shared" si="15"/>
        <v>0</v>
      </c>
      <c r="Z155" s="8">
        <f t="shared" si="16"/>
        <v>0</v>
      </c>
      <c r="AA155" s="8"/>
      <c r="AB155" s="8">
        <f t="shared" si="17"/>
        <v>0</v>
      </c>
      <c r="AC155" s="8">
        <f t="shared" si="18"/>
        <v>0</v>
      </c>
      <c r="AD155" s="8"/>
      <c r="AE155" s="8">
        <f t="shared" si="19"/>
        <v>0</v>
      </c>
      <c r="AF155" s="9">
        <f t="shared" si="20"/>
        <v>0</v>
      </c>
    </row>
    <row r="156" spans="1:32" ht="12.6" customHeight="1" x14ac:dyDescent="0.3">
      <c r="A156" s="6"/>
      <c r="B156" s="7" t="s">
        <v>315</v>
      </c>
      <c r="C156" s="7" t="s">
        <v>316</v>
      </c>
      <c r="D156" s="8">
        <v>382.91</v>
      </c>
      <c r="E156" s="8">
        <f t="shared" si="0"/>
        <v>114.873</v>
      </c>
      <c r="F156" s="8">
        <f t="shared" si="1"/>
        <v>0</v>
      </c>
      <c r="G156" s="8"/>
      <c r="H156" s="8">
        <f t="shared" si="2"/>
        <v>0</v>
      </c>
      <c r="I156" s="8">
        <v>405.9</v>
      </c>
      <c r="J156" s="8">
        <f t="shared" si="3"/>
        <v>121.76999999999998</v>
      </c>
      <c r="K156" s="8">
        <f t="shared" si="4"/>
        <v>0</v>
      </c>
      <c r="L156" s="8">
        <v>382.91</v>
      </c>
      <c r="M156" s="8">
        <f t="shared" si="5"/>
        <v>99.556600000000003</v>
      </c>
      <c r="N156" s="8">
        <f t="shared" si="6"/>
        <v>0</v>
      </c>
      <c r="O156" s="8">
        <v>359.99</v>
      </c>
      <c r="P156" s="8">
        <f t="shared" si="7"/>
        <v>107.997</v>
      </c>
      <c r="Q156" s="8">
        <f t="shared" si="8"/>
        <v>0</v>
      </c>
      <c r="R156" s="8">
        <f t="shared" si="24"/>
        <v>382.91</v>
      </c>
      <c r="S156" s="8">
        <f t="shared" si="10"/>
        <v>114.873</v>
      </c>
      <c r="T156" s="8">
        <f t="shared" si="11"/>
        <v>0</v>
      </c>
      <c r="U156" s="8">
        <f t="shared" si="25"/>
        <v>382.91</v>
      </c>
      <c r="V156" s="8">
        <f t="shared" si="13"/>
        <v>114.873</v>
      </c>
      <c r="W156" s="8">
        <f t="shared" si="14"/>
        <v>0</v>
      </c>
      <c r="X156" s="8">
        <v>789.54</v>
      </c>
      <c r="Y156" s="8">
        <f t="shared" si="15"/>
        <v>236.86199999999997</v>
      </c>
      <c r="Z156" s="8">
        <f t="shared" si="16"/>
        <v>0</v>
      </c>
      <c r="AA156" s="8">
        <v>405.9</v>
      </c>
      <c r="AB156" s="8">
        <f t="shared" si="17"/>
        <v>121.76999999999998</v>
      </c>
      <c r="AC156" s="8">
        <f t="shared" si="18"/>
        <v>0</v>
      </c>
      <c r="AD156" s="8">
        <v>417.42</v>
      </c>
      <c r="AE156" s="8">
        <f t="shared" si="19"/>
        <v>125.226</v>
      </c>
      <c r="AF156" s="9">
        <f t="shared" si="20"/>
        <v>0</v>
      </c>
    </row>
    <row r="157" spans="1:32" ht="12.6" customHeight="1" x14ac:dyDescent="0.3">
      <c r="A157" s="6"/>
      <c r="B157" s="7" t="s">
        <v>317</v>
      </c>
      <c r="C157" s="7" t="s">
        <v>318</v>
      </c>
      <c r="D157" s="8">
        <v>415.07</v>
      </c>
      <c r="E157" s="8">
        <f t="shared" si="0"/>
        <v>124.52099999999999</v>
      </c>
      <c r="F157" s="8">
        <f t="shared" si="1"/>
        <v>0</v>
      </c>
      <c r="G157" s="8"/>
      <c r="H157" s="8">
        <f t="shared" si="2"/>
        <v>0</v>
      </c>
      <c r="I157" s="8">
        <v>440.02</v>
      </c>
      <c r="J157" s="8">
        <f t="shared" si="3"/>
        <v>132.006</v>
      </c>
      <c r="K157" s="8">
        <f t="shared" si="4"/>
        <v>0</v>
      </c>
      <c r="L157" s="8">
        <v>415.07</v>
      </c>
      <c r="M157" s="8">
        <f t="shared" si="5"/>
        <v>107.9182</v>
      </c>
      <c r="N157" s="8">
        <f t="shared" si="6"/>
        <v>0</v>
      </c>
      <c r="O157" s="8">
        <v>390.2</v>
      </c>
      <c r="P157" s="8">
        <f t="shared" si="7"/>
        <v>117.05999999999999</v>
      </c>
      <c r="Q157" s="8">
        <f t="shared" si="8"/>
        <v>0</v>
      </c>
      <c r="R157" s="8">
        <f t="shared" si="24"/>
        <v>415.07</v>
      </c>
      <c r="S157" s="8">
        <f t="shared" si="10"/>
        <v>124.52099999999999</v>
      </c>
      <c r="T157" s="8">
        <f t="shared" si="11"/>
        <v>0</v>
      </c>
      <c r="U157" s="8">
        <f t="shared" si="25"/>
        <v>415.07</v>
      </c>
      <c r="V157" s="8">
        <f t="shared" si="13"/>
        <v>124.52099999999999</v>
      </c>
      <c r="W157" s="8">
        <f t="shared" si="14"/>
        <v>0</v>
      </c>
      <c r="X157" s="8">
        <v>929.43</v>
      </c>
      <c r="Y157" s="8">
        <f t="shared" si="15"/>
        <v>278.82899999999995</v>
      </c>
      <c r="Z157" s="8">
        <f t="shared" si="16"/>
        <v>0</v>
      </c>
      <c r="AA157" s="8">
        <v>440.02</v>
      </c>
      <c r="AB157" s="8">
        <f t="shared" si="17"/>
        <v>132.006</v>
      </c>
      <c r="AC157" s="8">
        <f t="shared" si="18"/>
        <v>0</v>
      </c>
      <c r="AD157" s="8">
        <v>452.47</v>
      </c>
      <c r="AE157" s="8">
        <f t="shared" si="19"/>
        <v>135.74100000000001</v>
      </c>
      <c r="AF157" s="9">
        <f t="shared" si="20"/>
        <v>0</v>
      </c>
    </row>
    <row r="158" spans="1:32" ht="12.6" customHeight="1" x14ac:dyDescent="0.3">
      <c r="A158" s="6"/>
      <c r="B158" s="7" t="s">
        <v>319</v>
      </c>
      <c r="C158" s="7" t="s">
        <v>320</v>
      </c>
      <c r="D158" s="8">
        <v>439.36</v>
      </c>
      <c r="E158" s="8">
        <f t="shared" si="0"/>
        <v>131.80799999999999</v>
      </c>
      <c r="F158" s="8">
        <f t="shared" si="1"/>
        <v>0</v>
      </c>
      <c r="G158" s="8"/>
      <c r="H158" s="8">
        <f t="shared" si="2"/>
        <v>0</v>
      </c>
      <c r="I158" s="8">
        <v>465.68</v>
      </c>
      <c r="J158" s="8">
        <f t="shared" si="3"/>
        <v>139.70400000000001</v>
      </c>
      <c r="K158" s="8">
        <f t="shared" si="4"/>
        <v>0</v>
      </c>
      <c r="L158" s="8">
        <v>439.36</v>
      </c>
      <c r="M158" s="8">
        <f t="shared" si="5"/>
        <v>114.23360000000001</v>
      </c>
      <c r="N158" s="8">
        <f t="shared" si="6"/>
        <v>0</v>
      </c>
      <c r="O158" s="8">
        <v>413.07</v>
      </c>
      <c r="P158" s="8">
        <f t="shared" si="7"/>
        <v>123.92099999999999</v>
      </c>
      <c r="Q158" s="8">
        <f t="shared" si="8"/>
        <v>0</v>
      </c>
      <c r="R158" s="8">
        <f t="shared" si="24"/>
        <v>439.36</v>
      </c>
      <c r="S158" s="8">
        <f t="shared" si="10"/>
        <v>131.80799999999999</v>
      </c>
      <c r="T158" s="8">
        <f t="shared" si="11"/>
        <v>0</v>
      </c>
      <c r="U158" s="8">
        <f t="shared" si="25"/>
        <v>439.36</v>
      </c>
      <c r="V158" s="8">
        <f t="shared" si="13"/>
        <v>131.80799999999999</v>
      </c>
      <c r="W158" s="8">
        <f t="shared" si="14"/>
        <v>0</v>
      </c>
      <c r="X158" s="8">
        <v>1070.23</v>
      </c>
      <c r="Y158" s="8">
        <f t="shared" si="15"/>
        <v>321.06900000000002</v>
      </c>
      <c r="Z158" s="8">
        <f t="shared" si="16"/>
        <v>0</v>
      </c>
      <c r="AA158" s="8">
        <v>465.68</v>
      </c>
      <c r="AB158" s="8">
        <f t="shared" si="17"/>
        <v>139.70400000000001</v>
      </c>
      <c r="AC158" s="8">
        <f t="shared" si="18"/>
        <v>0</v>
      </c>
      <c r="AD158" s="8">
        <v>478.91</v>
      </c>
      <c r="AE158" s="8">
        <f t="shared" si="19"/>
        <v>143.673</v>
      </c>
      <c r="AF158" s="9">
        <f t="shared" si="20"/>
        <v>0</v>
      </c>
    </row>
    <row r="159" spans="1:32" ht="12.6" customHeight="1" x14ac:dyDescent="0.3">
      <c r="A159" s="6"/>
      <c r="B159" s="7" t="s">
        <v>321</v>
      </c>
      <c r="C159" s="7"/>
      <c r="D159" s="8">
        <v>232.03</v>
      </c>
      <c r="E159" s="8">
        <f t="shared" si="0"/>
        <v>69.608999999999995</v>
      </c>
      <c r="F159" s="8">
        <f t="shared" si="1"/>
        <v>0</v>
      </c>
      <c r="G159" s="8"/>
      <c r="H159" s="8">
        <f t="shared" si="2"/>
        <v>0</v>
      </c>
      <c r="I159" s="8">
        <v>245.91</v>
      </c>
      <c r="J159" s="8">
        <f t="shared" si="3"/>
        <v>73.772999999999996</v>
      </c>
      <c r="K159" s="8">
        <f t="shared" si="4"/>
        <v>0</v>
      </c>
      <c r="L159" s="8">
        <v>232.03</v>
      </c>
      <c r="M159" s="8">
        <f t="shared" si="5"/>
        <v>60.327800000000003</v>
      </c>
      <c r="N159" s="8">
        <f t="shared" si="6"/>
        <v>0</v>
      </c>
      <c r="O159" s="8">
        <v>218.16</v>
      </c>
      <c r="P159" s="8">
        <f t="shared" si="7"/>
        <v>65.447999999999993</v>
      </c>
      <c r="Q159" s="8">
        <f t="shared" si="8"/>
        <v>0</v>
      </c>
      <c r="R159" s="8">
        <f t="shared" si="24"/>
        <v>232.03</v>
      </c>
      <c r="S159" s="8">
        <f t="shared" si="10"/>
        <v>69.608999999999995</v>
      </c>
      <c r="T159" s="8">
        <f t="shared" si="11"/>
        <v>0</v>
      </c>
      <c r="U159" s="8">
        <f t="shared" si="25"/>
        <v>232.03</v>
      </c>
      <c r="V159" s="8">
        <f t="shared" si="13"/>
        <v>69.608999999999995</v>
      </c>
      <c r="W159" s="8">
        <f t="shared" si="14"/>
        <v>0</v>
      </c>
      <c r="X159" s="8">
        <v>389.91</v>
      </c>
      <c r="Y159" s="8">
        <f t="shared" si="15"/>
        <v>116.973</v>
      </c>
      <c r="Z159" s="8">
        <f t="shared" si="16"/>
        <v>0</v>
      </c>
      <c r="AA159" s="8">
        <v>245.91</v>
      </c>
      <c r="AB159" s="8">
        <f t="shared" si="17"/>
        <v>73.772999999999996</v>
      </c>
      <c r="AC159" s="8">
        <f t="shared" si="18"/>
        <v>0</v>
      </c>
      <c r="AD159" s="8">
        <v>252.85</v>
      </c>
      <c r="AE159" s="8">
        <f t="shared" si="19"/>
        <v>75.85499999999999</v>
      </c>
      <c r="AF159" s="9">
        <f t="shared" si="20"/>
        <v>0</v>
      </c>
    </row>
    <row r="160" spans="1:32" ht="12.6" customHeight="1" x14ac:dyDescent="0.3">
      <c r="A160" s="6"/>
      <c r="B160" s="7" t="s">
        <v>322</v>
      </c>
      <c r="C160" s="7"/>
      <c r="D160" s="8">
        <v>263.33</v>
      </c>
      <c r="E160" s="8">
        <f t="shared" si="0"/>
        <v>78.998999999999995</v>
      </c>
      <c r="F160" s="8">
        <f t="shared" si="1"/>
        <v>0</v>
      </c>
      <c r="G160" s="8"/>
      <c r="H160" s="8">
        <f t="shared" si="2"/>
        <v>0</v>
      </c>
      <c r="I160" s="8">
        <v>279.18</v>
      </c>
      <c r="J160" s="8">
        <f t="shared" si="3"/>
        <v>83.754000000000005</v>
      </c>
      <c r="K160" s="8">
        <f t="shared" si="4"/>
        <v>0</v>
      </c>
      <c r="L160" s="8">
        <v>263.33</v>
      </c>
      <c r="M160" s="8">
        <f t="shared" si="5"/>
        <v>68.465800000000002</v>
      </c>
      <c r="N160" s="8">
        <f t="shared" si="6"/>
        <v>0</v>
      </c>
      <c r="O160" s="8">
        <v>247.57</v>
      </c>
      <c r="P160" s="8">
        <f t="shared" si="7"/>
        <v>74.271000000000001</v>
      </c>
      <c r="Q160" s="8">
        <f t="shared" si="8"/>
        <v>0</v>
      </c>
      <c r="R160" s="8">
        <f t="shared" si="24"/>
        <v>263.33</v>
      </c>
      <c r="S160" s="8">
        <f t="shared" si="10"/>
        <v>78.998999999999995</v>
      </c>
      <c r="T160" s="8">
        <f t="shared" si="11"/>
        <v>0</v>
      </c>
      <c r="U160" s="8">
        <f t="shared" si="25"/>
        <v>263.33</v>
      </c>
      <c r="V160" s="8">
        <f t="shared" si="13"/>
        <v>78.998999999999995</v>
      </c>
      <c r="W160" s="8">
        <f t="shared" si="14"/>
        <v>0</v>
      </c>
      <c r="X160" s="8">
        <v>435.16</v>
      </c>
      <c r="Y160" s="8">
        <f t="shared" si="15"/>
        <v>130.548</v>
      </c>
      <c r="Z160" s="8">
        <f t="shared" si="16"/>
        <v>0</v>
      </c>
      <c r="AA160" s="8">
        <v>279.18</v>
      </c>
      <c r="AB160" s="8">
        <f t="shared" si="17"/>
        <v>83.754000000000005</v>
      </c>
      <c r="AC160" s="8">
        <f t="shared" si="18"/>
        <v>0</v>
      </c>
      <c r="AD160" s="8">
        <v>287.04000000000002</v>
      </c>
      <c r="AE160" s="8">
        <f t="shared" si="19"/>
        <v>86.112000000000009</v>
      </c>
      <c r="AF160" s="9">
        <f t="shared" si="20"/>
        <v>0</v>
      </c>
    </row>
    <row r="161" spans="1:32" ht="12.6" customHeight="1" x14ac:dyDescent="0.3">
      <c r="A161" s="6"/>
      <c r="B161" s="7" t="s">
        <v>323</v>
      </c>
      <c r="C161" s="7"/>
      <c r="D161" s="8">
        <v>103.01</v>
      </c>
      <c r="E161" s="8">
        <f t="shared" si="0"/>
        <v>30.902999999999999</v>
      </c>
      <c r="F161" s="8">
        <f t="shared" si="1"/>
        <v>0</v>
      </c>
      <c r="G161" s="8"/>
      <c r="H161" s="8">
        <f t="shared" si="2"/>
        <v>0</v>
      </c>
      <c r="I161" s="8">
        <v>109.23</v>
      </c>
      <c r="J161" s="8">
        <f t="shared" si="3"/>
        <v>32.768999999999998</v>
      </c>
      <c r="K161" s="8">
        <f t="shared" si="4"/>
        <v>0</v>
      </c>
      <c r="L161" s="8">
        <v>103.01</v>
      </c>
      <c r="M161" s="8">
        <f t="shared" si="5"/>
        <v>26.782600000000002</v>
      </c>
      <c r="N161" s="8">
        <f t="shared" si="6"/>
        <v>0</v>
      </c>
      <c r="O161" s="8">
        <v>96.87</v>
      </c>
      <c r="P161" s="8">
        <f t="shared" si="7"/>
        <v>29.061</v>
      </c>
      <c r="Q161" s="8">
        <f t="shared" si="8"/>
        <v>0</v>
      </c>
      <c r="R161" s="8">
        <f t="shared" si="24"/>
        <v>103.01</v>
      </c>
      <c r="S161" s="8">
        <f t="shared" si="10"/>
        <v>30.902999999999999</v>
      </c>
      <c r="T161" s="8">
        <f t="shared" si="11"/>
        <v>0</v>
      </c>
      <c r="U161" s="8">
        <f t="shared" si="25"/>
        <v>103.01</v>
      </c>
      <c r="V161" s="8">
        <f t="shared" si="13"/>
        <v>30.902999999999999</v>
      </c>
      <c r="W161" s="8">
        <f t="shared" si="14"/>
        <v>0</v>
      </c>
      <c r="X161" s="8">
        <v>373.88</v>
      </c>
      <c r="Y161" s="8">
        <f t="shared" si="15"/>
        <v>112.164</v>
      </c>
      <c r="Z161" s="8">
        <f t="shared" si="16"/>
        <v>0</v>
      </c>
      <c r="AA161" s="8">
        <v>109.23</v>
      </c>
      <c r="AB161" s="8">
        <f t="shared" si="17"/>
        <v>32.768999999999998</v>
      </c>
      <c r="AC161" s="8">
        <f t="shared" si="18"/>
        <v>0</v>
      </c>
      <c r="AD161" s="8">
        <v>112.31</v>
      </c>
      <c r="AE161" s="8">
        <f t="shared" si="19"/>
        <v>33.692999999999998</v>
      </c>
      <c r="AF161" s="9">
        <f t="shared" si="20"/>
        <v>0</v>
      </c>
    </row>
    <row r="162" spans="1:32" ht="12.6" customHeight="1" x14ac:dyDescent="0.3">
      <c r="A162" s="6"/>
      <c r="B162" s="7" t="s">
        <v>324</v>
      </c>
      <c r="C162" s="7"/>
      <c r="D162" s="8">
        <v>122.33</v>
      </c>
      <c r="E162" s="8">
        <f t="shared" si="0"/>
        <v>36.698999999999998</v>
      </c>
      <c r="F162" s="8">
        <f t="shared" si="1"/>
        <v>0</v>
      </c>
      <c r="G162" s="8"/>
      <c r="H162" s="8">
        <f t="shared" si="2"/>
        <v>0</v>
      </c>
      <c r="I162" s="8">
        <v>129.66999999999999</v>
      </c>
      <c r="J162" s="8">
        <f t="shared" si="3"/>
        <v>38.900999999999996</v>
      </c>
      <c r="K162" s="8">
        <f t="shared" si="4"/>
        <v>0</v>
      </c>
      <c r="L162" s="8">
        <v>122.33</v>
      </c>
      <c r="M162" s="8">
        <f t="shared" si="5"/>
        <v>31.805800000000001</v>
      </c>
      <c r="N162" s="8">
        <f t="shared" si="6"/>
        <v>0</v>
      </c>
      <c r="O162" s="8">
        <v>115.02</v>
      </c>
      <c r="P162" s="8">
        <f t="shared" si="7"/>
        <v>34.506</v>
      </c>
      <c r="Q162" s="8">
        <f t="shared" si="8"/>
        <v>0</v>
      </c>
      <c r="R162" s="8">
        <f t="shared" si="24"/>
        <v>122.33</v>
      </c>
      <c r="S162" s="8">
        <f t="shared" si="10"/>
        <v>36.698999999999998</v>
      </c>
      <c r="T162" s="8">
        <f t="shared" si="11"/>
        <v>0</v>
      </c>
      <c r="U162" s="8">
        <f t="shared" si="25"/>
        <v>122.33</v>
      </c>
      <c r="V162" s="8">
        <f t="shared" si="13"/>
        <v>36.698999999999998</v>
      </c>
      <c r="W162" s="8">
        <f t="shared" si="14"/>
        <v>0</v>
      </c>
      <c r="X162" s="8">
        <v>458.51</v>
      </c>
      <c r="Y162" s="8">
        <f t="shared" si="15"/>
        <v>137.553</v>
      </c>
      <c r="Z162" s="8">
        <f t="shared" si="16"/>
        <v>0</v>
      </c>
      <c r="AA162" s="8">
        <v>129.66999999999999</v>
      </c>
      <c r="AB162" s="8">
        <f t="shared" si="17"/>
        <v>38.900999999999996</v>
      </c>
      <c r="AC162" s="8">
        <f t="shared" si="18"/>
        <v>0</v>
      </c>
      <c r="AD162" s="8">
        <v>133.33000000000001</v>
      </c>
      <c r="AE162" s="8">
        <f t="shared" si="19"/>
        <v>39.999000000000002</v>
      </c>
      <c r="AF162" s="9">
        <f t="shared" si="20"/>
        <v>0</v>
      </c>
    </row>
    <row r="163" spans="1:32" ht="12.6" customHeight="1" x14ac:dyDescent="0.3">
      <c r="A163" s="6"/>
      <c r="B163" s="7" t="s">
        <v>321</v>
      </c>
      <c r="C163" s="7" t="s">
        <v>325</v>
      </c>
      <c r="D163" s="8">
        <v>321.81</v>
      </c>
      <c r="E163" s="8">
        <f t="shared" si="0"/>
        <v>96.542999999999992</v>
      </c>
      <c r="F163" s="8">
        <f t="shared" si="1"/>
        <v>0</v>
      </c>
      <c r="G163" s="8"/>
      <c r="H163" s="8">
        <f t="shared" si="2"/>
        <v>0</v>
      </c>
      <c r="I163" s="8"/>
      <c r="J163" s="8">
        <f t="shared" si="3"/>
        <v>0</v>
      </c>
      <c r="K163" s="8">
        <f t="shared" si="4"/>
        <v>0</v>
      </c>
      <c r="L163" s="8"/>
      <c r="M163" s="8">
        <f t="shared" si="5"/>
        <v>0</v>
      </c>
      <c r="N163" s="8">
        <f t="shared" si="6"/>
        <v>0</v>
      </c>
      <c r="O163" s="8"/>
      <c r="P163" s="8">
        <f t="shared" si="7"/>
        <v>0</v>
      </c>
      <c r="Q163" s="8">
        <f t="shared" si="8"/>
        <v>0</v>
      </c>
      <c r="R163" s="8">
        <f t="shared" si="24"/>
        <v>0</v>
      </c>
      <c r="S163" s="8">
        <f t="shared" si="10"/>
        <v>0</v>
      </c>
      <c r="T163" s="8">
        <f t="shared" si="11"/>
        <v>0</v>
      </c>
      <c r="U163" s="8">
        <f t="shared" si="25"/>
        <v>0</v>
      </c>
      <c r="V163" s="8">
        <f t="shared" si="13"/>
        <v>0</v>
      </c>
      <c r="W163" s="8">
        <f t="shared" si="14"/>
        <v>0</v>
      </c>
      <c r="X163" s="8"/>
      <c r="Y163" s="8">
        <f t="shared" si="15"/>
        <v>0</v>
      </c>
      <c r="Z163" s="8">
        <f t="shared" si="16"/>
        <v>0</v>
      </c>
      <c r="AA163" s="8"/>
      <c r="AB163" s="8">
        <f t="shared" si="17"/>
        <v>0</v>
      </c>
      <c r="AC163" s="8">
        <f t="shared" si="18"/>
        <v>0</v>
      </c>
      <c r="AD163" s="8"/>
      <c r="AE163" s="8">
        <f t="shared" si="19"/>
        <v>0</v>
      </c>
      <c r="AF163" s="9">
        <f t="shared" si="20"/>
        <v>0</v>
      </c>
    </row>
    <row r="164" spans="1:32" ht="12.6" customHeight="1" x14ac:dyDescent="0.3">
      <c r="A164" s="6"/>
      <c r="B164" s="7" t="s">
        <v>326</v>
      </c>
      <c r="C164" s="7" t="s">
        <v>327</v>
      </c>
      <c r="D164" s="8">
        <v>343.36</v>
      </c>
      <c r="E164" s="8">
        <f t="shared" si="0"/>
        <v>103.008</v>
      </c>
      <c r="F164" s="8">
        <f t="shared" si="1"/>
        <v>0</v>
      </c>
      <c r="G164" s="8"/>
      <c r="H164" s="8">
        <f t="shared" si="2"/>
        <v>0</v>
      </c>
      <c r="I164" s="8"/>
      <c r="J164" s="8">
        <f t="shared" si="3"/>
        <v>0</v>
      </c>
      <c r="K164" s="8">
        <f t="shared" si="4"/>
        <v>0</v>
      </c>
      <c r="L164" s="8"/>
      <c r="M164" s="8">
        <f t="shared" si="5"/>
        <v>0</v>
      </c>
      <c r="N164" s="8">
        <f t="shared" si="6"/>
        <v>0</v>
      </c>
      <c r="O164" s="8"/>
      <c r="P164" s="8">
        <f t="shared" si="7"/>
        <v>0</v>
      </c>
      <c r="Q164" s="8">
        <f t="shared" si="8"/>
        <v>0</v>
      </c>
      <c r="R164" s="8">
        <f t="shared" si="24"/>
        <v>0</v>
      </c>
      <c r="S164" s="8">
        <f t="shared" si="10"/>
        <v>0</v>
      </c>
      <c r="T164" s="8">
        <f t="shared" si="11"/>
        <v>0</v>
      </c>
      <c r="U164" s="8">
        <f t="shared" si="25"/>
        <v>0</v>
      </c>
      <c r="V164" s="8">
        <f t="shared" si="13"/>
        <v>0</v>
      </c>
      <c r="W164" s="8">
        <f t="shared" si="14"/>
        <v>0</v>
      </c>
      <c r="X164" s="8"/>
      <c r="Y164" s="8">
        <f t="shared" si="15"/>
        <v>0</v>
      </c>
      <c r="Z164" s="8">
        <f t="shared" si="16"/>
        <v>0</v>
      </c>
      <c r="AA164" s="8"/>
      <c r="AB164" s="8">
        <f t="shared" si="17"/>
        <v>0</v>
      </c>
      <c r="AC164" s="8">
        <f t="shared" si="18"/>
        <v>0</v>
      </c>
      <c r="AD164" s="8"/>
      <c r="AE164" s="8">
        <f t="shared" si="19"/>
        <v>0</v>
      </c>
      <c r="AF164" s="9">
        <f t="shared" si="20"/>
        <v>0</v>
      </c>
    </row>
    <row r="165" spans="1:32" ht="12.6" customHeight="1" x14ac:dyDescent="0.3">
      <c r="A165" s="6"/>
      <c r="B165" s="7" t="s">
        <v>328</v>
      </c>
      <c r="C165" s="7" t="s">
        <v>329</v>
      </c>
      <c r="D165" s="8">
        <v>179.96</v>
      </c>
      <c r="E165" s="8">
        <f t="shared" si="0"/>
        <v>53.988</v>
      </c>
      <c r="F165" s="8">
        <f t="shared" si="1"/>
        <v>0</v>
      </c>
      <c r="G165" s="8"/>
      <c r="H165" s="8">
        <f t="shared" si="2"/>
        <v>0</v>
      </c>
      <c r="I165" s="8"/>
      <c r="J165" s="8">
        <f t="shared" si="3"/>
        <v>0</v>
      </c>
      <c r="K165" s="8">
        <f t="shared" si="4"/>
        <v>0</v>
      </c>
      <c r="L165" s="8"/>
      <c r="M165" s="8">
        <f t="shared" si="5"/>
        <v>0</v>
      </c>
      <c r="N165" s="8">
        <f t="shared" si="6"/>
        <v>0</v>
      </c>
      <c r="O165" s="8"/>
      <c r="P165" s="8">
        <f t="shared" si="7"/>
        <v>0</v>
      </c>
      <c r="Q165" s="8">
        <f t="shared" si="8"/>
        <v>0</v>
      </c>
      <c r="R165" s="8">
        <f t="shared" si="24"/>
        <v>0</v>
      </c>
      <c r="S165" s="8">
        <f t="shared" si="10"/>
        <v>0</v>
      </c>
      <c r="T165" s="8">
        <f t="shared" si="11"/>
        <v>0</v>
      </c>
      <c r="U165" s="8">
        <f t="shared" si="25"/>
        <v>0</v>
      </c>
      <c r="V165" s="8">
        <f t="shared" si="13"/>
        <v>0</v>
      </c>
      <c r="W165" s="8">
        <f t="shared" si="14"/>
        <v>0</v>
      </c>
      <c r="X165" s="8"/>
      <c r="Y165" s="8">
        <f t="shared" si="15"/>
        <v>0</v>
      </c>
      <c r="Z165" s="8">
        <f t="shared" si="16"/>
        <v>0</v>
      </c>
      <c r="AA165" s="8"/>
      <c r="AB165" s="8">
        <f t="shared" si="17"/>
        <v>0</v>
      </c>
      <c r="AC165" s="8">
        <f t="shared" si="18"/>
        <v>0</v>
      </c>
      <c r="AD165" s="8"/>
      <c r="AE165" s="8">
        <f t="shared" si="19"/>
        <v>0</v>
      </c>
      <c r="AF165" s="9">
        <f t="shared" si="20"/>
        <v>0</v>
      </c>
    </row>
    <row r="166" spans="1:32" ht="12.6" customHeight="1" x14ac:dyDescent="0.3">
      <c r="A166" s="6"/>
      <c r="B166" s="7" t="s">
        <v>330</v>
      </c>
      <c r="C166" s="7" t="s">
        <v>331</v>
      </c>
      <c r="D166" s="8">
        <v>225.51</v>
      </c>
      <c r="E166" s="8">
        <f t="shared" si="0"/>
        <v>67.652999999999992</v>
      </c>
      <c r="F166" s="8">
        <f t="shared" si="1"/>
        <v>0</v>
      </c>
      <c r="G166" s="8"/>
      <c r="H166" s="8">
        <f t="shared" si="2"/>
        <v>0</v>
      </c>
      <c r="I166" s="8"/>
      <c r="J166" s="8">
        <f t="shared" si="3"/>
        <v>0</v>
      </c>
      <c r="K166" s="8">
        <f t="shared" si="4"/>
        <v>0</v>
      </c>
      <c r="L166" s="8"/>
      <c r="M166" s="8">
        <f t="shared" si="5"/>
        <v>0</v>
      </c>
      <c r="N166" s="8">
        <f t="shared" si="6"/>
        <v>0</v>
      </c>
      <c r="O166" s="8"/>
      <c r="P166" s="8">
        <f t="shared" si="7"/>
        <v>0</v>
      </c>
      <c r="Q166" s="8">
        <f t="shared" si="8"/>
        <v>0</v>
      </c>
      <c r="R166" s="8">
        <f t="shared" si="24"/>
        <v>0</v>
      </c>
      <c r="S166" s="8">
        <f t="shared" si="10"/>
        <v>0</v>
      </c>
      <c r="T166" s="8">
        <f t="shared" si="11"/>
        <v>0</v>
      </c>
      <c r="U166" s="8">
        <f t="shared" si="25"/>
        <v>0</v>
      </c>
      <c r="V166" s="8">
        <f t="shared" si="13"/>
        <v>0</v>
      </c>
      <c r="W166" s="8">
        <f t="shared" si="14"/>
        <v>0</v>
      </c>
      <c r="X166" s="8"/>
      <c r="Y166" s="8">
        <f t="shared" si="15"/>
        <v>0</v>
      </c>
      <c r="Z166" s="8">
        <f t="shared" si="16"/>
        <v>0</v>
      </c>
      <c r="AA166" s="8"/>
      <c r="AB166" s="8">
        <f t="shared" si="17"/>
        <v>0</v>
      </c>
      <c r="AC166" s="8">
        <f t="shared" si="18"/>
        <v>0</v>
      </c>
      <c r="AD166" s="8"/>
      <c r="AE166" s="8">
        <f t="shared" si="19"/>
        <v>0</v>
      </c>
      <c r="AF166" s="9">
        <f t="shared" si="20"/>
        <v>0</v>
      </c>
    </row>
    <row r="167" spans="1:32" ht="12.6" customHeight="1" x14ac:dyDescent="0.3">
      <c r="A167" s="6"/>
      <c r="B167" s="7" t="s">
        <v>332</v>
      </c>
      <c r="C167" s="7" t="s">
        <v>333</v>
      </c>
      <c r="D167" s="8">
        <v>281.93</v>
      </c>
      <c r="E167" s="8">
        <f t="shared" si="0"/>
        <v>84.578999999999994</v>
      </c>
      <c r="F167" s="8">
        <f t="shared" si="1"/>
        <v>0</v>
      </c>
      <c r="G167" s="8"/>
      <c r="H167" s="8">
        <f t="shared" si="2"/>
        <v>0</v>
      </c>
      <c r="I167" s="8"/>
      <c r="J167" s="8">
        <f t="shared" si="3"/>
        <v>0</v>
      </c>
      <c r="K167" s="8">
        <f t="shared" si="4"/>
        <v>0</v>
      </c>
      <c r="L167" s="8"/>
      <c r="M167" s="8">
        <f t="shared" si="5"/>
        <v>0</v>
      </c>
      <c r="N167" s="8">
        <f t="shared" si="6"/>
        <v>0</v>
      </c>
      <c r="O167" s="8"/>
      <c r="P167" s="8">
        <f t="shared" si="7"/>
        <v>0</v>
      </c>
      <c r="Q167" s="8">
        <f t="shared" si="8"/>
        <v>0</v>
      </c>
      <c r="R167" s="8">
        <f t="shared" si="24"/>
        <v>0</v>
      </c>
      <c r="S167" s="8">
        <f t="shared" si="10"/>
        <v>0</v>
      </c>
      <c r="T167" s="8">
        <f t="shared" si="11"/>
        <v>0</v>
      </c>
      <c r="U167" s="8">
        <f t="shared" si="25"/>
        <v>0</v>
      </c>
      <c r="V167" s="8">
        <f t="shared" si="13"/>
        <v>0</v>
      </c>
      <c r="W167" s="8">
        <f t="shared" si="14"/>
        <v>0</v>
      </c>
      <c r="X167" s="8"/>
      <c r="Y167" s="8">
        <f t="shared" si="15"/>
        <v>0</v>
      </c>
      <c r="Z167" s="8">
        <f t="shared" si="16"/>
        <v>0</v>
      </c>
      <c r="AA167" s="8"/>
      <c r="AB167" s="8">
        <f t="shared" si="17"/>
        <v>0</v>
      </c>
      <c r="AC167" s="8">
        <f t="shared" si="18"/>
        <v>0</v>
      </c>
      <c r="AD167" s="8"/>
      <c r="AE167" s="8">
        <f t="shared" si="19"/>
        <v>0</v>
      </c>
      <c r="AF167" s="9">
        <f t="shared" si="20"/>
        <v>0</v>
      </c>
    </row>
    <row r="168" spans="1:32" ht="12.6" customHeight="1" x14ac:dyDescent="0.3">
      <c r="A168" s="6"/>
      <c r="B168" s="15"/>
      <c r="C168" s="15"/>
      <c r="D168" s="15"/>
      <c r="E168" s="15"/>
      <c r="F168" s="13">
        <f t="shared" si="1"/>
        <v>0</v>
      </c>
      <c r="G168" s="15"/>
      <c r="H168" s="15"/>
      <c r="I168" s="15"/>
      <c r="J168" s="15"/>
      <c r="K168" s="13">
        <f t="shared" si="4"/>
        <v>0</v>
      </c>
      <c r="L168" s="15"/>
      <c r="M168" s="13">
        <f t="shared" si="5"/>
        <v>0</v>
      </c>
      <c r="N168" s="13">
        <f t="shared" si="6"/>
        <v>0</v>
      </c>
      <c r="O168" s="15"/>
      <c r="P168" s="15"/>
      <c r="Q168" s="13">
        <f t="shared" si="8"/>
        <v>0</v>
      </c>
      <c r="R168" s="15"/>
      <c r="S168" s="15"/>
      <c r="T168" s="13">
        <f t="shared" si="11"/>
        <v>0</v>
      </c>
      <c r="U168" s="15"/>
      <c r="V168" s="15"/>
      <c r="W168" s="13">
        <f t="shared" si="14"/>
        <v>0</v>
      </c>
      <c r="X168" s="15"/>
      <c r="Y168" s="15"/>
      <c r="Z168" s="13">
        <f t="shared" si="16"/>
        <v>0</v>
      </c>
      <c r="AA168" s="13"/>
      <c r="AB168" s="13"/>
      <c r="AC168" s="13">
        <f t="shared" si="18"/>
        <v>0</v>
      </c>
      <c r="AD168" s="13"/>
      <c r="AE168" s="13"/>
      <c r="AF168" s="14">
        <f t="shared" si="20"/>
        <v>0</v>
      </c>
    </row>
    <row r="169" spans="1:32" ht="12.6" customHeight="1" x14ac:dyDescent="0.3">
      <c r="A169" s="6"/>
      <c r="B169" s="7" t="s">
        <v>334</v>
      </c>
      <c r="C169" s="7" t="s">
        <v>335</v>
      </c>
      <c r="D169" s="8">
        <v>46.06</v>
      </c>
      <c r="E169" s="8">
        <f t="shared" ref="E169:E207" si="26">D169*0.3</f>
        <v>13.818</v>
      </c>
      <c r="F169" s="8">
        <f t="shared" si="1"/>
        <v>0</v>
      </c>
      <c r="G169" s="8"/>
      <c r="H169" s="8"/>
      <c r="I169" s="8">
        <v>46.06</v>
      </c>
      <c r="J169" s="8">
        <f t="shared" ref="J169:J199" si="27">I169*0.3</f>
        <v>13.818</v>
      </c>
      <c r="K169" s="8">
        <f t="shared" si="4"/>
        <v>0</v>
      </c>
      <c r="L169" s="8">
        <v>46.06</v>
      </c>
      <c r="M169" s="8">
        <f t="shared" si="5"/>
        <v>11.975600000000002</v>
      </c>
      <c r="N169" s="8">
        <f t="shared" si="6"/>
        <v>0</v>
      </c>
      <c r="O169" s="8"/>
      <c r="P169" s="8">
        <f t="shared" ref="P169:P199" si="28">O169*0.3</f>
        <v>0</v>
      </c>
      <c r="Q169" s="8">
        <f t="shared" si="8"/>
        <v>0</v>
      </c>
      <c r="R169" s="8">
        <v>46.06</v>
      </c>
      <c r="S169" s="8">
        <f t="shared" ref="S169:S199" si="29">R169*0.3</f>
        <v>13.818</v>
      </c>
      <c r="T169" s="8">
        <f t="shared" si="11"/>
        <v>0</v>
      </c>
      <c r="U169" s="8">
        <v>46.06</v>
      </c>
      <c r="V169" s="8">
        <f t="shared" ref="V169:V199" si="30">U169*0.3</f>
        <v>13.818</v>
      </c>
      <c r="W169" s="8">
        <f t="shared" si="14"/>
        <v>0</v>
      </c>
      <c r="X169" s="8">
        <v>109.93</v>
      </c>
      <c r="Y169" s="8">
        <f t="shared" ref="Y169:Y199" si="31">X169*0.3</f>
        <v>32.978999999999999</v>
      </c>
      <c r="Z169" s="8">
        <f t="shared" si="16"/>
        <v>0</v>
      </c>
      <c r="AA169" s="8"/>
      <c r="AB169" s="8">
        <f t="shared" ref="AB169:AB199" si="32">AA169*0.3</f>
        <v>0</v>
      </c>
      <c r="AC169" s="8">
        <f t="shared" si="18"/>
        <v>0</v>
      </c>
      <c r="AD169" s="8"/>
      <c r="AE169" s="8">
        <f t="shared" ref="AE169:AE207" si="33">AD169*0.3</f>
        <v>0</v>
      </c>
      <c r="AF169" s="9">
        <f t="shared" si="20"/>
        <v>0</v>
      </c>
    </row>
    <row r="170" spans="1:32" ht="12.6" customHeight="1" x14ac:dyDescent="0.3">
      <c r="A170" s="6"/>
      <c r="B170" s="7" t="s">
        <v>336</v>
      </c>
      <c r="C170" s="7" t="s">
        <v>337</v>
      </c>
      <c r="D170" s="8">
        <v>41.32</v>
      </c>
      <c r="E170" s="8">
        <f t="shared" si="26"/>
        <v>12.395999999999999</v>
      </c>
      <c r="F170" s="8">
        <f t="shared" si="1"/>
        <v>0</v>
      </c>
      <c r="G170" s="8"/>
      <c r="H170" s="8"/>
      <c r="I170" s="8">
        <f t="shared" ref="I170:I171" si="34">D170</f>
        <v>41.32</v>
      </c>
      <c r="J170" s="8">
        <f t="shared" si="27"/>
        <v>12.395999999999999</v>
      </c>
      <c r="K170" s="8">
        <f t="shared" si="4"/>
        <v>0</v>
      </c>
      <c r="L170" s="8">
        <f t="shared" ref="L170:L178" si="35">D170</f>
        <v>41.32</v>
      </c>
      <c r="M170" s="8">
        <f t="shared" si="5"/>
        <v>10.7432</v>
      </c>
      <c r="N170" s="8">
        <f t="shared" si="6"/>
        <v>0</v>
      </c>
      <c r="O170" s="8">
        <f t="shared" ref="O170:O199" si="36">L170</f>
        <v>41.32</v>
      </c>
      <c r="P170" s="8">
        <f t="shared" si="28"/>
        <v>12.395999999999999</v>
      </c>
      <c r="Q170" s="8">
        <f t="shared" si="8"/>
        <v>0</v>
      </c>
      <c r="R170" s="8">
        <f>I170</f>
        <v>41.32</v>
      </c>
      <c r="S170" s="8">
        <f t="shared" si="29"/>
        <v>12.395999999999999</v>
      </c>
      <c r="T170" s="8">
        <f t="shared" si="11"/>
        <v>0</v>
      </c>
      <c r="U170" s="8">
        <f>L170</f>
        <v>41.32</v>
      </c>
      <c r="V170" s="8">
        <f t="shared" si="30"/>
        <v>12.395999999999999</v>
      </c>
      <c r="W170" s="8">
        <f t="shared" si="14"/>
        <v>0</v>
      </c>
      <c r="X170" s="8">
        <v>60.5</v>
      </c>
      <c r="Y170" s="8">
        <f t="shared" si="31"/>
        <v>18.149999999999999</v>
      </c>
      <c r="Z170" s="8">
        <f t="shared" si="16"/>
        <v>0</v>
      </c>
      <c r="AA170" s="8">
        <v>41.78</v>
      </c>
      <c r="AB170" s="8">
        <f t="shared" si="32"/>
        <v>12.534000000000001</v>
      </c>
      <c r="AC170" s="8">
        <f t="shared" si="18"/>
        <v>0</v>
      </c>
      <c r="AD170" s="8">
        <v>53.13</v>
      </c>
      <c r="AE170" s="8">
        <f t="shared" si="33"/>
        <v>15.939</v>
      </c>
      <c r="AF170" s="9">
        <f t="shared" si="20"/>
        <v>0</v>
      </c>
    </row>
    <row r="171" spans="1:32" ht="12.6" customHeight="1" x14ac:dyDescent="0.3">
      <c r="A171" s="6"/>
      <c r="B171" s="7" t="s">
        <v>338</v>
      </c>
      <c r="C171" s="7" t="s">
        <v>339</v>
      </c>
      <c r="D171" s="8">
        <v>56.96</v>
      </c>
      <c r="E171" s="8">
        <f t="shared" si="26"/>
        <v>17.088000000000001</v>
      </c>
      <c r="F171" s="8">
        <f t="shared" si="1"/>
        <v>0</v>
      </c>
      <c r="G171" s="8"/>
      <c r="H171" s="8"/>
      <c r="I171" s="8">
        <f t="shared" si="34"/>
        <v>56.96</v>
      </c>
      <c r="J171" s="8">
        <f t="shared" si="27"/>
        <v>17.088000000000001</v>
      </c>
      <c r="K171" s="8">
        <f t="shared" si="4"/>
        <v>0</v>
      </c>
      <c r="L171" s="8">
        <f t="shared" si="35"/>
        <v>56.96</v>
      </c>
      <c r="M171" s="8">
        <f t="shared" si="5"/>
        <v>14.809600000000001</v>
      </c>
      <c r="N171" s="8">
        <f t="shared" si="6"/>
        <v>0</v>
      </c>
      <c r="O171" s="8">
        <f t="shared" si="36"/>
        <v>56.96</v>
      </c>
      <c r="P171" s="8">
        <f t="shared" si="28"/>
        <v>17.088000000000001</v>
      </c>
      <c r="Q171" s="8">
        <f t="shared" si="8"/>
        <v>0</v>
      </c>
      <c r="R171" s="8">
        <v>56.96</v>
      </c>
      <c r="S171" s="8">
        <f t="shared" si="29"/>
        <v>17.088000000000001</v>
      </c>
      <c r="T171" s="8">
        <f t="shared" si="11"/>
        <v>0</v>
      </c>
      <c r="U171" s="8">
        <v>56.96</v>
      </c>
      <c r="V171" s="8">
        <f t="shared" si="30"/>
        <v>17.088000000000001</v>
      </c>
      <c r="W171" s="8">
        <f t="shared" si="14"/>
        <v>0</v>
      </c>
      <c r="X171" s="8">
        <v>121.01</v>
      </c>
      <c r="Y171" s="8">
        <f t="shared" si="31"/>
        <v>36.302999999999997</v>
      </c>
      <c r="Z171" s="8">
        <f t="shared" si="16"/>
        <v>0</v>
      </c>
      <c r="AA171" s="8">
        <v>56.96</v>
      </c>
      <c r="AB171" s="8">
        <f t="shared" si="32"/>
        <v>17.088000000000001</v>
      </c>
      <c r="AC171" s="8">
        <f t="shared" si="18"/>
        <v>0</v>
      </c>
      <c r="AD171" s="8">
        <v>107.33</v>
      </c>
      <c r="AE171" s="8">
        <f t="shared" si="33"/>
        <v>32.198999999999998</v>
      </c>
      <c r="AF171" s="9">
        <f t="shared" si="20"/>
        <v>0</v>
      </c>
    </row>
    <row r="172" spans="1:32" ht="12.6" customHeight="1" x14ac:dyDescent="0.3">
      <c r="A172" s="6"/>
      <c r="B172" s="7" t="s">
        <v>340</v>
      </c>
      <c r="C172" s="7" t="s">
        <v>341</v>
      </c>
      <c r="D172" s="8">
        <v>29.57</v>
      </c>
      <c r="E172" s="8">
        <f t="shared" si="26"/>
        <v>8.8710000000000004</v>
      </c>
      <c r="F172" s="8">
        <f t="shared" si="1"/>
        <v>0</v>
      </c>
      <c r="G172" s="8"/>
      <c r="H172" s="8"/>
      <c r="I172" s="8">
        <v>33.85</v>
      </c>
      <c r="J172" s="8">
        <f t="shared" si="27"/>
        <v>10.154999999999999</v>
      </c>
      <c r="K172" s="8">
        <f t="shared" si="4"/>
        <v>0</v>
      </c>
      <c r="L172" s="8">
        <f t="shared" si="35"/>
        <v>29.57</v>
      </c>
      <c r="M172" s="8">
        <f t="shared" si="5"/>
        <v>7.6882000000000001</v>
      </c>
      <c r="N172" s="8">
        <f t="shared" si="6"/>
        <v>0</v>
      </c>
      <c r="O172" s="8">
        <f t="shared" si="36"/>
        <v>29.57</v>
      </c>
      <c r="P172" s="8">
        <f t="shared" si="28"/>
        <v>8.8710000000000004</v>
      </c>
      <c r="Q172" s="8">
        <f t="shared" si="8"/>
        <v>0</v>
      </c>
      <c r="R172" s="8">
        <f t="shared" ref="R172:R199" si="37">L172</f>
        <v>29.57</v>
      </c>
      <c r="S172" s="8">
        <f t="shared" si="29"/>
        <v>8.8710000000000004</v>
      </c>
      <c r="T172" s="8">
        <f t="shared" si="11"/>
        <v>0</v>
      </c>
      <c r="U172" s="8">
        <f t="shared" ref="U172:U180" si="38">I172</f>
        <v>33.85</v>
      </c>
      <c r="V172" s="8">
        <f t="shared" si="30"/>
        <v>10.154999999999999</v>
      </c>
      <c r="W172" s="8">
        <f t="shared" si="14"/>
        <v>0</v>
      </c>
      <c r="X172" s="8">
        <v>0</v>
      </c>
      <c r="Y172" s="8">
        <f t="shared" si="31"/>
        <v>0</v>
      </c>
      <c r="Z172" s="8">
        <f t="shared" si="16"/>
        <v>0</v>
      </c>
      <c r="AA172" s="8">
        <v>31.89</v>
      </c>
      <c r="AB172" s="8">
        <f t="shared" si="32"/>
        <v>9.5670000000000002</v>
      </c>
      <c r="AC172" s="8">
        <f t="shared" si="18"/>
        <v>0</v>
      </c>
      <c r="AD172" s="8">
        <v>44.26</v>
      </c>
      <c r="AE172" s="8">
        <f t="shared" si="33"/>
        <v>13.277999999999999</v>
      </c>
      <c r="AF172" s="9">
        <f t="shared" si="20"/>
        <v>0</v>
      </c>
    </row>
    <row r="173" spans="1:32" ht="12.6" customHeight="1" x14ac:dyDescent="0.3">
      <c r="A173" s="6"/>
      <c r="B173" s="7" t="s">
        <v>342</v>
      </c>
      <c r="C173" s="7" t="s">
        <v>343</v>
      </c>
      <c r="D173" s="8">
        <v>41.63</v>
      </c>
      <c r="E173" s="8">
        <f t="shared" si="26"/>
        <v>12.489000000000001</v>
      </c>
      <c r="F173" s="8">
        <f t="shared" si="1"/>
        <v>0</v>
      </c>
      <c r="G173" s="8"/>
      <c r="H173" s="8"/>
      <c r="I173" s="8">
        <v>43.61</v>
      </c>
      <c r="J173" s="8">
        <f t="shared" si="27"/>
        <v>13.083</v>
      </c>
      <c r="K173" s="8">
        <f t="shared" si="4"/>
        <v>0</v>
      </c>
      <c r="L173" s="8">
        <f t="shared" si="35"/>
        <v>41.63</v>
      </c>
      <c r="M173" s="8">
        <f t="shared" si="5"/>
        <v>10.8238</v>
      </c>
      <c r="N173" s="8">
        <f t="shared" si="6"/>
        <v>0</v>
      </c>
      <c r="O173" s="8">
        <f t="shared" si="36"/>
        <v>41.63</v>
      </c>
      <c r="P173" s="8">
        <f t="shared" si="28"/>
        <v>12.489000000000001</v>
      </c>
      <c r="Q173" s="8">
        <f t="shared" si="8"/>
        <v>0</v>
      </c>
      <c r="R173" s="8">
        <f t="shared" si="37"/>
        <v>41.63</v>
      </c>
      <c r="S173" s="8">
        <f t="shared" si="29"/>
        <v>12.489000000000001</v>
      </c>
      <c r="T173" s="8">
        <f t="shared" si="11"/>
        <v>0</v>
      </c>
      <c r="U173" s="8">
        <f t="shared" si="38"/>
        <v>43.61</v>
      </c>
      <c r="V173" s="8">
        <f t="shared" si="30"/>
        <v>13.083</v>
      </c>
      <c r="W173" s="8">
        <f t="shared" si="14"/>
        <v>0</v>
      </c>
      <c r="X173" s="8">
        <v>51.93</v>
      </c>
      <c r="Y173" s="8">
        <f t="shared" si="31"/>
        <v>15.578999999999999</v>
      </c>
      <c r="Z173" s="8">
        <f t="shared" si="16"/>
        <v>0</v>
      </c>
      <c r="AA173" s="8">
        <v>41.18</v>
      </c>
      <c r="AB173" s="8">
        <f t="shared" si="32"/>
        <v>12.353999999999999</v>
      </c>
      <c r="AC173" s="8">
        <f t="shared" si="18"/>
        <v>0</v>
      </c>
      <c r="AD173" s="8">
        <v>52.31</v>
      </c>
      <c r="AE173" s="8">
        <f t="shared" si="33"/>
        <v>15.693</v>
      </c>
      <c r="AF173" s="9">
        <f t="shared" si="20"/>
        <v>0</v>
      </c>
    </row>
    <row r="174" spans="1:32" ht="12.6" customHeight="1" x14ac:dyDescent="0.3">
      <c r="A174" s="6"/>
      <c r="B174" s="7" t="s">
        <v>344</v>
      </c>
      <c r="C174" s="7" t="s">
        <v>345</v>
      </c>
      <c r="D174" s="8">
        <v>48.04</v>
      </c>
      <c r="E174" s="8">
        <f t="shared" si="26"/>
        <v>14.411999999999999</v>
      </c>
      <c r="F174" s="8">
        <f t="shared" si="1"/>
        <v>0</v>
      </c>
      <c r="G174" s="8"/>
      <c r="H174" s="8"/>
      <c r="I174" s="8">
        <v>52.06</v>
      </c>
      <c r="J174" s="8">
        <f t="shared" si="27"/>
        <v>15.618</v>
      </c>
      <c r="K174" s="8">
        <f t="shared" si="4"/>
        <v>0</v>
      </c>
      <c r="L174" s="8">
        <f t="shared" si="35"/>
        <v>48.04</v>
      </c>
      <c r="M174" s="8">
        <f t="shared" si="5"/>
        <v>12.490400000000001</v>
      </c>
      <c r="N174" s="8">
        <f t="shared" si="6"/>
        <v>0</v>
      </c>
      <c r="O174" s="8">
        <f t="shared" si="36"/>
        <v>48.04</v>
      </c>
      <c r="P174" s="8">
        <f t="shared" si="28"/>
        <v>14.411999999999999</v>
      </c>
      <c r="Q174" s="8">
        <f t="shared" si="8"/>
        <v>0</v>
      </c>
      <c r="R174" s="8">
        <f t="shared" si="37"/>
        <v>48.04</v>
      </c>
      <c r="S174" s="8">
        <f t="shared" si="29"/>
        <v>14.411999999999999</v>
      </c>
      <c r="T174" s="8">
        <f t="shared" si="11"/>
        <v>0</v>
      </c>
      <c r="U174" s="8">
        <f t="shared" si="38"/>
        <v>52.06</v>
      </c>
      <c r="V174" s="8">
        <f t="shared" si="30"/>
        <v>15.618</v>
      </c>
      <c r="W174" s="8">
        <f t="shared" si="14"/>
        <v>0</v>
      </c>
      <c r="X174" s="8">
        <v>60.61</v>
      </c>
      <c r="Y174" s="8">
        <f t="shared" si="31"/>
        <v>18.183</v>
      </c>
      <c r="Z174" s="8">
        <f t="shared" si="16"/>
        <v>0</v>
      </c>
      <c r="AA174" s="8">
        <v>49.11</v>
      </c>
      <c r="AB174" s="8">
        <f t="shared" si="32"/>
        <v>14.732999999999999</v>
      </c>
      <c r="AC174" s="8">
        <f t="shared" si="18"/>
        <v>0</v>
      </c>
      <c r="AD174" s="8">
        <v>53.61</v>
      </c>
      <c r="AE174" s="8">
        <f t="shared" si="33"/>
        <v>16.082999999999998</v>
      </c>
      <c r="AF174" s="9">
        <f t="shared" si="20"/>
        <v>0</v>
      </c>
    </row>
    <row r="175" spans="1:32" ht="12.6" customHeight="1" x14ac:dyDescent="0.3">
      <c r="A175" s="6"/>
      <c r="B175" s="7" t="s">
        <v>346</v>
      </c>
      <c r="C175" s="7" t="s">
        <v>347</v>
      </c>
      <c r="D175" s="8">
        <v>122.82</v>
      </c>
      <c r="E175" s="8">
        <f t="shared" si="26"/>
        <v>36.845999999999997</v>
      </c>
      <c r="F175" s="8">
        <f t="shared" si="1"/>
        <v>0</v>
      </c>
      <c r="G175" s="8"/>
      <c r="H175" s="8"/>
      <c r="I175" s="8">
        <v>128.87</v>
      </c>
      <c r="J175" s="8">
        <f t="shared" si="27"/>
        <v>38.661000000000001</v>
      </c>
      <c r="K175" s="8">
        <f t="shared" si="4"/>
        <v>0</v>
      </c>
      <c r="L175" s="8">
        <f t="shared" si="35"/>
        <v>122.82</v>
      </c>
      <c r="M175" s="8">
        <f t="shared" si="5"/>
        <v>31.933199999999999</v>
      </c>
      <c r="N175" s="8">
        <f t="shared" si="6"/>
        <v>0</v>
      </c>
      <c r="O175" s="8">
        <f t="shared" si="36"/>
        <v>122.82</v>
      </c>
      <c r="P175" s="8">
        <f t="shared" si="28"/>
        <v>36.845999999999997</v>
      </c>
      <c r="Q175" s="8">
        <f t="shared" si="8"/>
        <v>0</v>
      </c>
      <c r="R175" s="8">
        <f t="shared" si="37"/>
        <v>122.82</v>
      </c>
      <c r="S175" s="8">
        <f t="shared" si="29"/>
        <v>36.845999999999997</v>
      </c>
      <c r="T175" s="8">
        <f t="shared" si="11"/>
        <v>0</v>
      </c>
      <c r="U175" s="8">
        <f t="shared" si="38"/>
        <v>128.87</v>
      </c>
      <c r="V175" s="8">
        <f t="shared" si="30"/>
        <v>38.661000000000001</v>
      </c>
      <c r="W175" s="8">
        <f t="shared" si="14"/>
        <v>0</v>
      </c>
      <c r="X175" s="8">
        <v>139.91999999999999</v>
      </c>
      <c r="Y175" s="8">
        <f t="shared" si="31"/>
        <v>41.975999999999992</v>
      </c>
      <c r="Z175" s="8">
        <f t="shared" si="16"/>
        <v>0</v>
      </c>
      <c r="AA175" s="8">
        <v>121.53</v>
      </c>
      <c r="AB175" s="8">
        <f t="shared" si="32"/>
        <v>36.458999999999996</v>
      </c>
      <c r="AC175" s="8">
        <f t="shared" si="18"/>
        <v>0</v>
      </c>
      <c r="AD175" s="8">
        <v>132.41999999999999</v>
      </c>
      <c r="AE175" s="8">
        <f t="shared" si="33"/>
        <v>39.725999999999992</v>
      </c>
      <c r="AF175" s="9">
        <f t="shared" si="20"/>
        <v>0</v>
      </c>
    </row>
    <row r="176" spans="1:32" ht="12.6" customHeight="1" x14ac:dyDescent="0.3">
      <c r="A176" s="6"/>
      <c r="B176" s="7" t="s">
        <v>348</v>
      </c>
      <c r="C176" s="7" t="s">
        <v>349</v>
      </c>
      <c r="D176" s="8">
        <v>83.25</v>
      </c>
      <c r="E176" s="8">
        <f t="shared" si="26"/>
        <v>24.974999999999998</v>
      </c>
      <c r="F176" s="8">
        <f t="shared" si="1"/>
        <v>0</v>
      </c>
      <c r="G176" s="8"/>
      <c r="H176" s="8"/>
      <c r="I176" s="8">
        <v>86.52</v>
      </c>
      <c r="J176" s="8">
        <f t="shared" si="27"/>
        <v>25.956</v>
      </c>
      <c r="K176" s="8">
        <f t="shared" si="4"/>
        <v>0</v>
      </c>
      <c r="L176" s="8">
        <f t="shared" si="35"/>
        <v>83.25</v>
      </c>
      <c r="M176" s="8">
        <f t="shared" si="5"/>
        <v>21.645</v>
      </c>
      <c r="N176" s="8">
        <f t="shared" si="6"/>
        <v>0</v>
      </c>
      <c r="O176" s="8">
        <f t="shared" si="36"/>
        <v>83.25</v>
      </c>
      <c r="P176" s="8">
        <f t="shared" si="28"/>
        <v>24.974999999999998</v>
      </c>
      <c r="Q176" s="8">
        <f t="shared" si="8"/>
        <v>0</v>
      </c>
      <c r="R176" s="8">
        <f t="shared" si="37"/>
        <v>83.25</v>
      </c>
      <c r="S176" s="8">
        <f t="shared" si="29"/>
        <v>24.974999999999998</v>
      </c>
      <c r="T176" s="8">
        <f t="shared" si="11"/>
        <v>0</v>
      </c>
      <c r="U176" s="8">
        <f t="shared" si="38"/>
        <v>86.52</v>
      </c>
      <c r="V176" s="8">
        <f t="shared" si="30"/>
        <v>25.956</v>
      </c>
      <c r="W176" s="8">
        <f t="shared" si="14"/>
        <v>0</v>
      </c>
      <c r="X176" s="8">
        <f>L176*1.21</f>
        <v>100.7325</v>
      </c>
      <c r="Y176" s="8">
        <f t="shared" si="31"/>
        <v>30.219749999999998</v>
      </c>
      <c r="Z176" s="8">
        <f t="shared" si="16"/>
        <v>0</v>
      </c>
      <c r="AA176" s="8">
        <v>81.650000000000006</v>
      </c>
      <c r="AB176" s="8">
        <f t="shared" si="32"/>
        <v>24.495000000000001</v>
      </c>
      <c r="AC176" s="8">
        <f t="shared" si="18"/>
        <v>0</v>
      </c>
      <c r="AD176" s="8">
        <v>103.78</v>
      </c>
      <c r="AE176" s="8">
        <f t="shared" si="33"/>
        <v>31.134</v>
      </c>
      <c r="AF176" s="9">
        <f t="shared" si="20"/>
        <v>0</v>
      </c>
    </row>
    <row r="177" spans="1:32" ht="12.6" customHeight="1" x14ac:dyDescent="0.3">
      <c r="A177" s="6"/>
      <c r="B177" s="7" t="s">
        <v>350</v>
      </c>
      <c r="C177" s="7" t="s">
        <v>351</v>
      </c>
      <c r="D177" s="8">
        <v>96.09</v>
      </c>
      <c r="E177" s="8">
        <f t="shared" si="26"/>
        <v>28.826999999999998</v>
      </c>
      <c r="F177" s="8">
        <f t="shared" si="1"/>
        <v>0</v>
      </c>
      <c r="G177" s="8"/>
      <c r="H177" s="8"/>
      <c r="I177" s="8">
        <v>106.27</v>
      </c>
      <c r="J177" s="8">
        <f t="shared" si="27"/>
        <v>31.880999999999997</v>
      </c>
      <c r="K177" s="8">
        <f t="shared" si="4"/>
        <v>0</v>
      </c>
      <c r="L177" s="8">
        <f t="shared" si="35"/>
        <v>96.09</v>
      </c>
      <c r="M177" s="8">
        <f t="shared" si="5"/>
        <v>24.983400000000003</v>
      </c>
      <c r="N177" s="8">
        <f t="shared" si="6"/>
        <v>0</v>
      </c>
      <c r="O177" s="8">
        <f t="shared" si="36"/>
        <v>96.09</v>
      </c>
      <c r="P177" s="8">
        <f t="shared" si="28"/>
        <v>28.826999999999998</v>
      </c>
      <c r="Q177" s="8">
        <f t="shared" si="8"/>
        <v>0</v>
      </c>
      <c r="R177" s="8">
        <f t="shared" si="37"/>
        <v>96.09</v>
      </c>
      <c r="S177" s="8">
        <f t="shared" si="29"/>
        <v>28.826999999999998</v>
      </c>
      <c r="T177" s="8">
        <f t="shared" si="11"/>
        <v>0</v>
      </c>
      <c r="U177" s="8">
        <f t="shared" si="38"/>
        <v>106.27</v>
      </c>
      <c r="V177" s="8">
        <f t="shared" si="30"/>
        <v>31.880999999999997</v>
      </c>
      <c r="W177" s="8">
        <f t="shared" si="14"/>
        <v>0</v>
      </c>
      <c r="X177" s="8">
        <v>121.23</v>
      </c>
      <c r="Y177" s="8">
        <f t="shared" si="31"/>
        <v>36.369</v>
      </c>
      <c r="Z177" s="8">
        <f t="shared" si="16"/>
        <v>0</v>
      </c>
      <c r="AA177" s="8">
        <v>100.23</v>
      </c>
      <c r="AB177" s="8">
        <f t="shared" si="32"/>
        <v>30.068999999999999</v>
      </c>
      <c r="AC177" s="8">
        <f t="shared" si="18"/>
        <v>0</v>
      </c>
      <c r="AD177" s="8">
        <v>109.34</v>
      </c>
      <c r="AE177" s="8">
        <f t="shared" si="33"/>
        <v>32.802</v>
      </c>
      <c r="AF177" s="9">
        <f t="shared" si="20"/>
        <v>0</v>
      </c>
    </row>
    <row r="178" spans="1:32" ht="12.6" customHeight="1" x14ac:dyDescent="0.3">
      <c r="A178" s="6"/>
      <c r="B178" s="7" t="s">
        <v>352</v>
      </c>
      <c r="C178" s="7" t="s">
        <v>353</v>
      </c>
      <c r="D178" s="8">
        <v>214.94</v>
      </c>
      <c r="E178" s="8">
        <f t="shared" si="26"/>
        <v>64.481999999999999</v>
      </c>
      <c r="F178" s="8">
        <f t="shared" si="1"/>
        <v>0</v>
      </c>
      <c r="G178" s="8"/>
      <c r="H178" s="8"/>
      <c r="I178" s="8">
        <v>237.58</v>
      </c>
      <c r="J178" s="8">
        <f t="shared" si="27"/>
        <v>71.274000000000001</v>
      </c>
      <c r="K178" s="8">
        <f t="shared" si="4"/>
        <v>0</v>
      </c>
      <c r="L178" s="8">
        <f t="shared" si="35"/>
        <v>214.94</v>
      </c>
      <c r="M178" s="8">
        <f t="shared" si="5"/>
        <v>55.884399999999999</v>
      </c>
      <c r="N178" s="8">
        <f t="shared" si="6"/>
        <v>0</v>
      </c>
      <c r="O178" s="8">
        <f t="shared" si="36"/>
        <v>214.94</v>
      </c>
      <c r="P178" s="8">
        <f t="shared" si="28"/>
        <v>64.481999999999999</v>
      </c>
      <c r="Q178" s="8">
        <f t="shared" si="8"/>
        <v>0</v>
      </c>
      <c r="R178" s="8">
        <f t="shared" si="37"/>
        <v>214.94</v>
      </c>
      <c r="S178" s="8">
        <f t="shared" si="29"/>
        <v>64.481999999999999</v>
      </c>
      <c r="T178" s="8">
        <f t="shared" si="11"/>
        <v>0</v>
      </c>
      <c r="U178" s="8">
        <f t="shared" si="38"/>
        <v>237.58</v>
      </c>
      <c r="V178" s="8">
        <f t="shared" si="30"/>
        <v>71.274000000000001</v>
      </c>
      <c r="W178" s="8">
        <f t="shared" si="14"/>
        <v>0</v>
      </c>
      <c r="X178" s="8">
        <v>279.83</v>
      </c>
      <c r="Y178" s="8">
        <f t="shared" si="31"/>
        <v>83.948999999999998</v>
      </c>
      <c r="Z178" s="8">
        <f t="shared" si="16"/>
        <v>0</v>
      </c>
      <c r="AA178" s="8">
        <v>224.14</v>
      </c>
      <c r="AB178" s="8">
        <f t="shared" si="32"/>
        <v>67.24199999999999</v>
      </c>
      <c r="AC178" s="8">
        <f t="shared" si="18"/>
        <v>0</v>
      </c>
      <c r="AD178" s="8">
        <v>252.66</v>
      </c>
      <c r="AE178" s="8">
        <f t="shared" si="33"/>
        <v>75.798000000000002</v>
      </c>
      <c r="AF178" s="9">
        <f t="shared" si="20"/>
        <v>0</v>
      </c>
    </row>
    <row r="179" spans="1:32" ht="12.6" customHeight="1" x14ac:dyDescent="0.3">
      <c r="A179" s="6"/>
      <c r="B179" s="7" t="s">
        <v>354</v>
      </c>
      <c r="C179" s="7" t="s">
        <v>355</v>
      </c>
      <c r="D179" s="8">
        <v>111.36</v>
      </c>
      <c r="E179" s="8">
        <f t="shared" si="26"/>
        <v>33.408000000000001</v>
      </c>
      <c r="F179" s="8">
        <f t="shared" si="1"/>
        <v>0</v>
      </c>
      <c r="G179" s="8"/>
      <c r="H179" s="8"/>
      <c r="I179" s="8">
        <v>151.74</v>
      </c>
      <c r="J179" s="8">
        <f t="shared" si="27"/>
        <v>45.521999999999998</v>
      </c>
      <c r="K179" s="8">
        <f t="shared" si="4"/>
        <v>0</v>
      </c>
      <c r="L179" s="8">
        <f>D179*1.2101</f>
        <v>134.75673599999999</v>
      </c>
      <c r="M179" s="8">
        <f t="shared" si="5"/>
        <v>35.036751359999997</v>
      </c>
      <c r="N179" s="8">
        <f t="shared" si="6"/>
        <v>0</v>
      </c>
      <c r="O179" s="8">
        <f t="shared" si="36"/>
        <v>134.75673599999999</v>
      </c>
      <c r="P179" s="8">
        <f t="shared" si="28"/>
        <v>40.427020799999994</v>
      </c>
      <c r="Q179" s="8">
        <f t="shared" si="8"/>
        <v>0</v>
      </c>
      <c r="R179" s="8">
        <f t="shared" si="37"/>
        <v>134.75673599999999</v>
      </c>
      <c r="S179" s="8">
        <f t="shared" si="29"/>
        <v>40.427020799999994</v>
      </c>
      <c r="T179" s="8">
        <f t="shared" si="11"/>
        <v>0</v>
      </c>
      <c r="U179" s="8">
        <f t="shared" si="38"/>
        <v>151.74</v>
      </c>
      <c r="V179" s="8">
        <f t="shared" si="30"/>
        <v>45.521999999999998</v>
      </c>
      <c r="W179" s="8">
        <f t="shared" si="14"/>
        <v>0</v>
      </c>
      <c r="X179" s="8">
        <f t="shared" ref="X179:X181" si="39">L179*1.21</f>
        <v>163.05565055999998</v>
      </c>
      <c r="Y179" s="8">
        <f t="shared" si="31"/>
        <v>48.91669516799999</v>
      </c>
      <c r="Z179" s="8">
        <f t="shared" si="16"/>
        <v>0</v>
      </c>
      <c r="AA179" s="8">
        <v>143.21</v>
      </c>
      <c r="AB179" s="8">
        <f t="shared" si="32"/>
        <v>42.963000000000001</v>
      </c>
      <c r="AC179" s="8">
        <f t="shared" si="18"/>
        <v>0</v>
      </c>
      <c r="AD179" s="8">
        <v>156.1</v>
      </c>
      <c r="AE179" s="8">
        <f t="shared" si="33"/>
        <v>46.83</v>
      </c>
      <c r="AF179" s="9">
        <f t="shared" si="20"/>
        <v>0</v>
      </c>
    </row>
    <row r="180" spans="1:32" ht="12.6" customHeight="1" x14ac:dyDescent="0.3">
      <c r="A180" s="6"/>
      <c r="B180" s="7" t="s">
        <v>356</v>
      </c>
      <c r="C180" s="7" t="s">
        <v>357</v>
      </c>
      <c r="D180" s="8">
        <v>133.38999999999999</v>
      </c>
      <c r="E180" s="8">
        <f t="shared" si="26"/>
        <v>40.016999999999996</v>
      </c>
      <c r="F180" s="8">
        <f t="shared" si="1"/>
        <v>0</v>
      </c>
      <c r="G180" s="8"/>
      <c r="H180" s="8"/>
      <c r="I180" s="8"/>
      <c r="J180" s="8">
        <f t="shared" si="27"/>
        <v>0</v>
      </c>
      <c r="K180" s="8">
        <f t="shared" si="4"/>
        <v>0</v>
      </c>
      <c r="L180" s="8">
        <f t="shared" ref="L180:L181" si="40">D180*1.21</f>
        <v>161.40189999999998</v>
      </c>
      <c r="M180" s="8">
        <f t="shared" si="5"/>
        <v>41.964493999999995</v>
      </c>
      <c r="N180" s="8">
        <f t="shared" si="6"/>
        <v>0</v>
      </c>
      <c r="O180" s="8">
        <f t="shared" si="36"/>
        <v>161.40189999999998</v>
      </c>
      <c r="P180" s="8">
        <f t="shared" si="28"/>
        <v>48.420569999999991</v>
      </c>
      <c r="Q180" s="8">
        <f t="shared" si="8"/>
        <v>0</v>
      </c>
      <c r="R180" s="8">
        <f t="shared" si="37"/>
        <v>161.40189999999998</v>
      </c>
      <c r="S180" s="8">
        <f t="shared" si="29"/>
        <v>48.420569999999991</v>
      </c>
      <c r="T180" s="8">
        <f t="shared" si="11"/>
        <v>0</v>
      </c>
      <c r="U180" s="8">
        <f t="shared" si="38"/>
        <v>0</v>
      </c>
      <c r="V180" s="8">
        <f t="shared" si="30"/>
        <v>0</v>
      </c>
      <c r="W180" s="8">
        <f t="shared" si="14"/>
        <v>0</v>
      </c>
      <c r="X180" s="8">
        <f t="shared" si="39"/>
        <v>195.29629899999998</v>
      </c>
      <c r="Y180" s="8">
        <f t="shared" si="31"/>
        <v>58.588889699999989</v>
      </c>
      <c r="Z180" s="8">
        <f t="shared" si="16"/>
        <v>0</v>
      </c>
      <c r="AA180" s="8"/>
      <c r="AB180" s="8">
        <f t="shared" si="32"/>
        <v>0</v>
      </c>
      <c r="AC180" s="8">
        <f t="shared" si="18"/>
        <v>0</v>
      </c>
      <c r="AD180" s="8"/>
      <c r="AE180" s="8">
        <f t="shared" si="33"/>
        <v>0</v>
      </c>
      <c r="AF180" s="9">
        <f t="shared" si="20"/>
        <v>0</v>
      </c>
    </row>
    <row r="181" spans="1:32" ht="12.6" customHeight="1" x14ac:dyDescent="0.3">
      <c r="A181" s="6"/>
      <c r="B181" s="7" t="s">
        <v>358</v>
      </c>
      <c r="C181" s="7" t="s">
        <v>359</v>
      </c>
      <c r="D181" s="8">
        <v>167.75</v>
      </c>
      <c r="E181" s="8">
        <f t="shared" si="26"/>
        <v>50.324999999999996</v>
      </c>
      <c r="F181" s="8">
        <f t="shared" si="1"/>
        <v>0</v>
      </c>
      <c r="G181" s="8"/>
      <c r="H181" s="8"/>
      <c r="I181" s="8">
        <v>182.07</v>
      </c>
      <c r="J181" s="8">
        <f t="shared" si="27"/>
        <v>54.620999999999995</v>
      </c>
      <c r="K181" s="8">
        <f t="shared" si="4"/>
        <v>0</v>
      </c>
      <c r="L181" s="8">
        <f t="shared" si="40"/>
        <v>202.97749999999999</v>
      </c>
      <c r="M181" s="8">
        <f t="shared" si="5"/>
        <v>52.774149999999999</v>
      </c>
      <c r="N181" s="8">
        <f t="shared" si="6"/>
        <v>0</v>
      </c>
      <c r="O181" s="8">
        <f t="shared" si="36"/>
        <v>202.97749999999999</v>
      </c>
      <c r="P181" s="8">
        <f t="shared" si="28"/>
        <v>60.893249999999995</v>
      </c>
      <c r="Q181" s="8">
        <f t="shared" si="8"/>
        <v>0</v>
      </c>
      <c r="R181" s="8">
        <f t="shared" si="37"/>
        <v>202.97749999999999</v>
      </c>
      <c r="S181" s="8">
        <f t="shared" si="29"/>
        <v>60.893249999999995</v>
      </c>
      <c r="T181" s="8">
        <f t="shared" si="11"/>
        <v>0</v>
      </c>
      <c r="U181" s="8">
        <v>202.98</v>
      </c>
      <c r="V181" s="8">
        <f t="shared" si="30"/>
        <v>60.893999999999991</v>
      </c>
      <c r="W181" s="8">
        <f t="shared" si="14"/>
        <v>0</v>
      </c>
      <c r="X181" s="8">
        <f t="shared" si="39"/>
        <v>245.60277499999998</v>
      </c>
      <c r="Y181" s="8">
        <f t="shared" si="31"/>
        <v>73.680832499999994</v>
      </c>
      <c r="Z181" s="8">
        <f t="shared" si="16"/>
        <v>0</v>
      </c>
      <c r="AA181" s="8">
        <v>171.82</v>
      </c>
      <c r="AB181" s="8">
        <f t="shared" si="32"/>
        <v>51.545999999999999</v>
      </c>
      <c r="AC181" s="8">
        <f t="shared" si="18"/>
        <v>0</v>
      </c>
      <c r="AD181" s="8">
        <v>187.24</v>
      </c>
      <c r="AE181" s="8">
        <f t="shared" si="33"/>
        <v>56.172000000000004</v>
      </c>
      <c r="AF181" s="9">
        <f t="shared" si="20"/>
        <v>0</v>
      </c>
    </row>
    <row r="182" spans="1:32" ht="12.6" customHeight="1" x14ac:dyDescent="0.3">
      <c r="A182" s="6"/>
      <c r="B182" s="7" t="s">
        <v>360</v>
      </c>
      <c r="C182" s="7" t="s">
        <v>361</v>
      </c>
      <c r="D182" s="8">
        <v>152.22</v>
      </c>
      <c r="E182" s="8">
        <f t="shared" si="26"/>
        <v>45.665999999999997</v>
      </c>
      <c r="F182" s="8">
        <f t="shared" si="1"/>
        <v>0</v>
      </c>
      <c r="G182" s="8"/>
      <c r="H182" s="8"/>
      <c r="I182" s="8">
        <v>163.41999999999999</v>
      </c>
      <c r="J182" s="8">
        <f t="shared" si="27"/>
        <v>49.025999999999996</v>
      </c>
      <c r="K182" s="8">
        <f t="shared" si="4"/>
        <v>0</v>
      </c>
      <c r="L182" s="8">
        <v>152.22</v>
      </c>
      <c r="M182" s="8">
        <f t="shared" si="5"/>
        <v>39.577199999999998</v>
      </c>
      <c r="N182" s="8">
        <f t="shared" si="6"/>
        <v>0</v>
      </c>
      <c r="O182" s="8">
        <f t="shared" si="36"/>
        <v>152.22</v>
      </c>
      <c r="P182" s="8">
        <f t="shared" si="28"/>
        <v>45.665999999999997</v>
      </c>
      <c r="Q182" s="8">
        <f t="shared" si="8"/>
        <v>0</v>
      </c>
      <c r="R182" s="8">
        <f t="shared" si="37"/>
        <v>152.22</v>
      </c>
      <c r="S182" s="8">
        <f t="shared" si="29"/>
        <v>45.665999999999997</v>
      </c>
      <c r="T182" s="8">
        <f t="shared" si="11"/>
        <v>0</v>
      </c>
      <c r="U182" s="8">
        <f t="shared" ref="U182:U199" si="41">I182</f>
        <v>163.41999999999999</v>
      </c>
      <c r="V182" s="8">
        <f t="shared" si="30"/>
        <v>49.025999999999996</v>
      </c>
      <c r="W182" s="8">
        <f t="shared" si="14"/>
        <v>0</v>
      </c>
      <c r="X182" s="8">
        <v>152.22</v>
      </c>
      <c r="Y182" s="8">
        <f t="shared" si="31"/>
        <v>45.665999999999997</v>
      </c>
      <c r="Z182" s="8">
        <f t="shared" si="16"/>
        <v>0</v>
      </c>
      <c r="AA182" s="8">
        <v>154.07</v>
      </c>
      <c r="AB182" s="8">
        <f t="shared" si="32"/>
        <v>46.220999999999997</v>
      </c>
      <c r="AC182" s="8">
        <f t="shared" si="18"/>
        <v>0</v>
      </c>
      <c r="AD182" s="8">
        <v>144.04</v>
      </c>
      <c r="AE182" s="8">
        <f t="shared" si="33"/>
        <v>43.211999999999996</v>
      </c>
      <c r="AF182" s="9">
        <f t="shared" si="20"/>
        <v>0</v>
      </c>
    </row>
    <row r="183" spans="1:32" ht="12.6" customHeight="1" x14ac:dyDescent="0.3">
      <c r="A183" s="6"/>
      <c r="B183" s="7" t="s">
        <v>362</v>
      </c>
      <c r="C183" s="7" t="s">
        <v>363</v>
      </c>
      <c r="D183" s="8">
        <v>28.84</v>
      </c>
      <c r="E183" s="8">
        <f t="shared" si="26"/>
        <v>8.6519999999999992</v>
      </c>
      <c r="F183" s="8">
        <f t="shared" si="1"/>
        <v>0</v>
      </c>
      <c r="G183" s="8"/>
      <c r="H183" s="8"/>
      <c r="I183" s="8">
        <v>39.76</v>
      </c>
      <c r="J183" s="8">
        <f t="shared" si="27"/>
        <v>11.927999999999999</v>
      </c>
      <c r="K183" s="8">
        <f t="shared" si="4"/>
        <v>0</v>
      </c>
      <c r="L183" s="8">
        <v>28.84</v>
      </c>
      <c r="M183" s="8">
        <f t="shared" si="5"/>
        <v>7.4984000000000002</v>
      </c>
      <c r="N183" s="8">
        <f t="shared" si="6"/>
        <v>0</v>
      </c>
      <c r="O183" s="8">
        <f t="shared" si="36"/>
        <v>28.84</v>
      </c>
      <c r="P183" s="8">
        <f t="shared" si="28"/>
        <v>8.6519999999999992</v>
      </c>
      <c r="Q183" s="8">
        <f t="shared" si="8"/>
        <v>0</v>
      </c>
      <c r="R183" s="8">
        <f t="shared" si="37"/>
        <v>28.84</v>
      </c>
      <c r="S183" s="8">
        <f t="shared" si="29"/>
        <v>8.6519999999999992</v>
      </c>
      <c r="T183" s="8">
        <f t="shared" si="11"/>
        <v>0</v>
      </c>
      <c r="U183" s="8">
        <f t="shared" si="41"/>
        <v>39.76</v>
      </c>
      <c r="V183" s="8">
        <f t="shared" si="30"/>
        <v>11.927999999999999</v>
      </c>
      <c r="W183" s="8">
        <f t="shared" si="14"/>
        <v>0</v>
      </c>
      <c r="X183" s="8">
        <v>130.25</v>
      </c>
      <c r="Y183" s="8">
        <f t="shared" si="31"/>
        <v>39.074999999999996</v>
      </c>
      <c r="Z183" s="8">
        <f t="shared" si="16"/>
        <v>0</v>
      </c>
      <c r="AA183" s="8">
        <v>38.130000000000003</v>
      </c>
      <c r="AB183" s="8">
        <f t="shared" si="32"/>
        <v>11.439</v>
      </c>
      <c r="AC183" s="8">
        <f t="shared" si="18"/>
        <v>0</v>
      </c>
      <c r="AD183" s="8">
        <v>91.89</v>
      </c>
      <c r="AE183" s="8">
        <f t="shared" si="33"/>
        <v>27.567</v>
      </c>
      <c r="AF183" s="9">
        <f t="shared" si="20"/>
        <v>0</v>
      </c>
    </row>
    <row r="184" spans="1:32" ht="12.6" customHeight="1" x14ac:dyDescent="0.3">
      <c r="A184" s="6"/>
      <c r="B184" s="7" t="s">
        <v>364</v>
      </c>
      <c r="C184" s="7" t="s">
        <v>365</v>
      </c>
      <c r="D184" s="8">
        <v>36.26</v>
      </c>
      <c r="E184" s="8">
        <f t="shared" si="26"/>
        <v>10.877999999999998</v>
      </c>
      <c r="F184" s="8">
        <f t="shared" si="1"/>
        <v>0</v>
      </c>
      <c r="G184" s="8"/>
      <c r="H184" s="8"/>
      <c r="I184" s="8">
        <v>43.01</v>
      </c>
      <c r="J184" s="8">
        <f t="shared" si="27"/>
        <v>12.902999999999999</v>
      </c>
      <c r="K184" s="8">
        <f t="shared" si="4"/>
        <v>0</v>
      </c>
      <c r="L184" s="8">
        <v>36.26</v>
      </c>
      <c r="M184" s="8">
        <f t="shared" si="5"/>
        <v>9.4276</v>
      </c>
      <c r="N184" s="8">
        <f t="shared" si="6"/>
        <v>0</v>
      </c>
      <c r="O184" s="8">
        <f t="shared" si="36"/>
        <v>36.26</v>
      </c>
      <c r="P184" s="8">
        <f t="shared" si="28"/>
        <v>10.877999999999998</v>
      </c>
      <c r="Q184" s="8">
        <f t="shared" si="8"/>
        <v>0</v>
      </c>
      <c r="R184" s="8">
        <f t="shared" si="37"/>
        <v>36.26</v>
      </c>
      <c r="S184" s="8">
        <f t="shared" si="29"/>
        <v>10.877999999999998</v>
      </c>
      <c r="T184" s="8">
        <f t="shared" si="11"/>
        <v>0</v>
      </c>
      <c r="U184" s="8">
        <f t="shared" si="41"/>
        <v>43.01</v>
      </c>
      <c r="V184" s="8">
        <f t="shared" si="30"/>
        <v>12.902999999999999</v>
      </c>
      <c r="W184" s="8">
        <f t="shared" si="14"/>
        <v>0</v>
      </c>
      <c r="X184" s="8">
        <v>154.66999999999999</v>
      </c>
      <c r="Y184" s="8">
        <f t="shared" si="31"/>
        <v>46.400999999999996</v>
      </c>
      <c r="Z184" s="8">
        <f t="shared" si="16"/>
        <v>0</v>
      </c>
      <c r="AA184" s="8">
        <v>41.25</v>
      </c>
      <c r="AB184" s="8">
        <f t="shared" si="32"/>
        <v>12.375</v>
      </c>
      <c r="AC184" s="8">
        <f t="shared" si="18"/>
        <v>0</v>
      </c>
      <c r="AD184" s="8">
        <v>110.54</v>
      </c>
      <c r="AE184" s="8">
        <f t="shared" si="33"/>
        <v>33.161999999999999</v>
      </c>
      <c r="AF184" s="9">
        <f t="shared" si="20"/>
        <v>0</v>
      </c>
    </row>
    <row r="185" spans="1:32" ht="12.6" customHeight="1" x14ac:dyDescent="0.3">
      <c r="A185" s="6"/>
      <c r="B185" s="7" t="s">
        <v>366</v>
      </c>
      <c r="C185" s="7" t="s">
        <v>367</v>
      </c>
      <c r="D185" s="8">
        <v>52.22</v>
      </c>
      <c r="E185" s="8">
        <f t="shared" si="26"/>
        <v>15.665999999999999</v>
      </c>
      <c r="F185" s="8">
        <f t="shared" si="1"/>
        <v>0</v>
      </c>
      <c r="G185" s="8"/>
      <c r="H185" s="8"/>
      <c r="I185" s="8">
        <v>57.13</v>
      </c>
      <c r="J185" s="8">
        <f t="shared" si="27"/>
        <v>17.138999999999999</v>
      </c>
      <c r="K185" s="8">
        <f t="shared" si="4"/>
        <v>0</v>
      </c>
      <c r="L185" s="8">
        <v>52.22</v>
      </c>
      <c r="M185" s="8">
        <f t="shared" si="5"/>
        <v>13.577199999999999</v>
      </c>
      <c r="N185" s="8">
        <f t="shared" si="6"/>
        <v>0</v>
      </c>
      <c r="O185" s="8">
        <f t="shared" si="36"/>
        <v>52.22</v>
      </c>
      <c r="P185" s="8">
        <f t="shared" si="28"/>
        <v>15.665999999999999</v>
      </c>
      <c r="Q185" s="8">
        <f t="shared" si="8"/>
        <v>0</v>
      </c>
      <c r="R185" s="8">
        <f t="shared" si="37"/>
        <v>52.22</v>
      </c>
      <c r="S185" s="8">
        <f t="shared" si="29"/>
        <v>15.665999999999999</v>
      </c>
      <c r="T185" s="8">
        <f t="shared" si="11"/>
        <v>0</v>
      </c>
      <c r="U185" s="8">
        <f t="shared" si="41"/>
        <v>57.13</v>
      </c>
      <c r="V185" s="8">
        <f t="shared" si="30"/>
        <v>17.138999999999999</v>
      </c>
      <c r="W185" s="8">
        <f t="shared" si="14"/>
        <v>0</v>
      </c>
      <c r="X185" s="8">
        <v>179.25</v>
      </c>
      <c r="Y185" s="8">
        <f t="shared" si="31"/>
        <v>53.774999999999999</v>
      </c>
      <c r="Z185" s="8">
        <f t="shared" si="16"/>
        <v>0</v>
      </c>
      <c r="AA185" s="8">
        <v>49.91</v>
      </c>
      <c r="AB185" s="8">
        <f t="shared" si="32"/>
        <v>14.972999999999999</v>
      </c>
      <c r="AC185" s="8">
        <f t="shared" si="18"/>
        <v>0</v>
      </c>
      <c r="AD185" s="8">
        <v>129.72999999999999</v>
      </c>
      <c r="AE185" s="8">
        <f t="shared" si="33"/>
        <v>38.918999999999997</v>
      </c>
      <c r="AF185" s="9">
        <f t="shared" si="20"/>
        <v>0</v>
      </c>
    </row>
    <row r="186" spans="1:32" ht="12.6" customHeight="1" x14ac:dyDescent="0.3">
      <c r="A186" s="6"/>
      <c r="B186" s="7" t="s">
        <v>368</v>
      </c>
      <c r="C186" s="7" t="s">
        <v>369</v>
      </c>
      <c r="D186" s="8">
        <v>83.79</v>
      </c>
      <c r="E186" s="8">
        <f t="shared" si="26"/>
        <v>25.137</v>
      </c>
      <c r="F186" s="8">
        <f t="shared" si="1"/>
        <v>0</v>
      </c>
      <c r="G186" s="8"/>
      <c r="H186" s="8"/>
      <c r="I186" s="8">
        <v>83.79</v>
      </c>
      <c r="J186" s="8">
        <f t="shared" si="27"/>
        <v>25.137</v>
      </c>
      <c r="K186" s="8">
        <f t="shared" si="4"/>
        <v>0</v>
      </c>
      <c r="L186" s="8">
        <f>I186</f>
        <v>83.79</v>
      </c>
      <c r="M186" s="8">
        <f t="shared" si="5"/>
        <v>21.785400000000003</v>
      </c>
      <c r="N186" s="8">
        <f t="shared" si="6"/>
        <v>0</v>
      </c>
      <c r="O186" s="8">
        <f t="shared" si="36"/>
        <v>83.79</v>
      </c>
      <c r="P186" s="8">
        <f t="shared" si="28"/>
        <v>25.137</v>
      </c>
      <c r="Q186" s="8">
        <f t="shared" si="8"/>
        <v>0</v>
      </c>
      <c r="R186" s="8">
        <f t="shared" si="37"/>
        <v>83.79</v>
      </c>
      <c r="S186" s="8">
        <f t="shared" si="29"/>
        <v>25.137</v>
      </c>
      <c r="T186" s="8">
        <f t="shared" si="11"/>
        <v>0</v>
      </c>
      <c r="U186" s="8">
        <f t="shared" si="41"/>
        <v>83.79</v>
      </c>
      <c r="V186" s="8">
        <f t="shared" si="30"/>
        <v>25.137</v>
      </c>
      <c r="W186" s="8">
        <f t="shared" si="14"/>
        <v>0</v>
      </c>
      <c r="X186" s="8">
        <v>102.35</v>
      </c>
      <c r="Y186" s="8">
        <f t="shared" si="31"/>
        <v>30.704999999999998</v>
      </c>
      <c r="Z186" s="8">
        <f t="shared" si="16"/>
        <v>0</v>
      </c>
      <c r="AA186" s="8">
        <v>70.14</v>
      </c>
      <c r="AB186" s="8">
        <f t="shared" si="32"/>
        <v>21.041999999999998</v>
      </c>
      <c r="AC186" s="8">
        <f t="shared" si="18"/>
        <v>0</v>
      </c>
      <c r="AD186" s="8">
        <v>83.79</v>
      </c>
      <c r="AE186" s="8">
        <f t="shared" si="33"/>
        <v>25.137</v>
      </c>
      <c r="AF186" s="9">
        <f t="shared" si="20"/>
        <v>0</v>
      </c>
    </row>
    <row r="187" spans="1:32" ht="12.6" customHeight="1" x14ac:dyDescent="0.3">
      <c r="A187" s="6"/>
      <c r="B187" s="7" t="s">
        <v>370</v>
      </c>
      <c r="C187" s="7" t="s">
        <v>371</v>
      </c>
      <c r="D187" s="8">
        <v>179.56</v>
      </c>
      <c r="E187" s="8">
        <f t="shared" si="26"/>
        <v>53.868000000000002</v>
      </c>
      <c r="F187" s="8">
        <f t="shared" si="1"/>
        <v>0</v>
      </c>
      <c r="G187" s="8"/>
      <c r="H187" s="8"/>
      <c r="I187" s="8">
        <v>248.94</v>
      </c>
      <c r="J187" s="8">
        <f t="shared" si="27"/>
        <v>74.682000000000002</v>
      </c>
      <c r="K187" s="8">
        <f t="shared" si="4"/>
        <v>0</v>
      </c>
      <c r="L187" s="8">
        <v>234.83</v>
      </c>
      <c r="M187" s="8">
        <f t="shared" si="5"/>
        <v>61.055800000000005</v>
      </c>
      <c r="N187" s="8">
        <f t="shared" si="6"/>
        <v>0</v>
      </c>
      <c r="O187" s="8">
        <f t="shared" si="36"/>
        <v>234.83</v>
      </c>
      <c r="P187" s="8">
        <f t="shared" si="28"/>
        <v>70.448999999999998</v>
      </c>
      <c r="Q187" s="8">
        <f t="shared" si="8"/>
        <v>0</v>
      </c>
      <c r="R187" s="8">
        <f t="shared" si="37"/>
        <v>234.83</v>
      </c>
      <c r="S187" s="8">
        <f t="shared" si="29"/>
        <v>70.448999999999998</v>
      </c>
      <c r="T187" s="8">
        <f t="shared" si="11"/>
        <v>0</v>
      </c>
      <c r="U187" s="8">
        <f t="shared" si="41"/>
        <v>248.94</v>
      </c>
      <c r="V187" s="8">
        <f t="shared" si="30"/>
        <v>74.682000000000002</v>
      </c>
      <c r="W187" s="8">
        <f t="shared" si="14"/>
        <v>0</v>
      </c>
      <c r="X187" s="8">
        <v>316.12</v>
      </c>
      <c r="Y187" s="8">
        <f t="shared" si="31"/>
        <v>94.835999999999999</v>
      </c>
      <c r="Z187" s="8">
        <f t="shared" si="16"/>
        <v>0</v>
      </c>
      <c r="AA187" s="8">
        <v>234.83</v>
      </c>
      <c r="AB187" s="8">
        <f t="shared" si="32"/>
        <v>70.448999999999998</v>
      </c>
      <c r="AC187" s="8">
        <f t="shared" si="18"/>
        <v>0</v>
      </c>
      <c r="AD187" s="8">
        <v>255.99</v>
      </c>
      <c r="AE187" s="8">
        <f t="shared" si="33"/>
        <v>76.796999999999997</v>
      </c>
      <c r="AF187" s="9">
        <f t="shared" si="20"/>
        <v>0</v>
      </c>
    </row>
    <row r="188" spans="1:32" ht="12.6" customHeight="1" x14ac:dyDescent="0.3">
      <c r="A188" s="6"/>
      <c r="B188" s="7" t="s">
        <v>372</v>
      </c>
      <c r="C188" s="7" t="s">
        <v>373</v>
      </c>
      <c r="D188" s="8">
        <v>139.1</v>
      </c>
      <c r="E188" s="8">
        <f t="shared" si="26"/>
        <v>41.73</v>
      </c>
      <c r="F188" s="8">
        <f t="shared" si="1"/>
        <v>0</v>
      </c>
      <c r="G188" s="8"/>
      <c r="H188" s="8"/>
      <c r="I188" s="8">
        <v>147.47999999999999</v>
      </c>
      <c r="J188" s="8">
        <f t="shared" si="27"/>
        <v>44.243999999999993</v>
      </c>
      <c r="K188" s="8">
        <f t="shared" si="4"/>
        <v>0</v>
      </c>
      <c r="L188" s="8">
        <f t="shared" ref="L188:L190" si="42">D188</f>
        <v>139.1</v>
      </c>
      <c r="M188" s="8">
        <f t="shared" si="5"/>
        <v>36.165999999999997</v>
      </c>
      <c r="N188" s="8">
        <f t="shared" si="6"/>
        <v>0</v>
      </c>
      <c r="O188" s="8">
        <f t="shared" si="36"/>
        <v>139.1</v>
      </c>
      <c r="P188" s="8">
        <f t="shared" si="28"/>
        <v>41.73</v>
      </c>
      <c r="Q188" s="8">
        <f t="shared" si="8"/>
        <v>0</v>
      </c>
      <c r="R188" s="8">
        <f t="shared" si="37"/>
        <v>139.1</v>
      </c>
      <c r="S188" s="8">
        <f t="shared" si="29"/>
        <v>41.73</v>
      </c>
      <c r="T188" s="8">
        <f t="shared" si="11"/>
        <v>0</v>
      </c>
      <c r="U188" s="8">
        <f t="shared" si="41"/>
        <v>147.47999999999999</v>
      </c>
      <c r="V188" s="8">
        <f t="shared" si="30"/>
        <v>44.243999999999993</v>
      </c>
      <c r="W188" s="8">
        <f t="shared" si="14"/>
        <v>0</v>
      </c>
      <c r="X188" s="8">
        <v>212.48</v>
      </c>
      <c r="Y188" s="8">
        <f t="shared" si="31"/>
        <v>63.743999999999993</v>
      </c>
      <c r="Z188" s="8">
        <f t="shared" si="16"/>
        <v>0</v>
      </c>
      <c r="AA188" s="8">
        <v>147.47999999999999</v>
      </c>
      <c r="AB188" s="8">
        <f t="shared" si="32"/>
        <v>44.243999999999993</v>
      </c>
      <c r="AC188" s="8">
        <f t="shared" si="18"/>
        <v>0</v>
      </c>
      <c r="AD188" s="8"/>
      <c r="AE188" s="8">
        <f t="shared" si="33"/>
        <v>0</v>
      </c>
      <c r="AF188" s="9">
        <f t="shared" si="20"/>
        <v>0</v>
      </c>
    </row>
    <row r="189" spans="1:32" ht="12.6" customHeight="1" x14ac:dyDescent="0.3">
      <c r="A189" s="6"/>
      <c r="B189" s="7" t="s">
        <v>374</v>
      </c>
      <c r="C189" s="7" t="s">
        <v>375</v>
      </c>
      <c r="D189" s="8">
        <v>156.32</v>
      </c>
      <c r="E189" s="8">
        <f t="shared" si="26"/>
        <v>46.895999999999994</v>
      </c>
      <c r="F189" s="8">
        <f t="shared" si="1"/>
        <v>0</v>
      </c>
      <c r="G189" s="8"/>
      <c r="H189" s="8"/>
      <c r="I189" s="8">
        <v>165.75</v>
      </c>
      <c r="J189" s="8">
        <f t="shared" si="27"/>
        <v>49.725000000000001</v>
      </c>
      <c r="K189" s="8">
        <f t="shared" si="4"/>
        <v>0</v>
      </c>
      <c r="L189" s="8">
        <f t="shared" si="42"/>
        <v>156.32</v>
      </c>
      <c r="M189" s="8">
        <f t="shared" si="5"/>
        <v>40.6432</v>
      </c>
      <c r="N189" s="8">
        <f t="shared" si="6"/>
        <v>0</v>
      </c>
      <c r="O189" s="8">
        <f t="shared" si="36"/>
        <v>156.32</v>
      </c>
      <c r="P189" s="8">
        <f t="shared" si="28"/>
        <v>46.895999999999994</v>
      </c>
      <c r="Q189" s="8">
        <f t="shared" si="8"/>
        <v>0</v>
      </c>
      <c r="R189" s="8">
        <f t="shared" si="37"/>
        <v>156.32</v>
      </c>
      <c r="S189" s="8">
        <f t="shared" si="29"/>
        <v>46.895999999999994</v>
      </c>
      <c r="T189" s="8">
        <f t="shared" si="11"/>
        <v>0</v>
      </c>
      <c r="U189" s="8">
        <f t="shared" si="41"/>
        <v>165.75</v>
      </c>
      <c r="V189" s="8">
        <f t="shared" si="30"/>
        <v>49.725000000000001</v>
      </c>
      <c r="W189" s="8">
        <f t="shared" si="14"/>
        <v>0</v>
      </c>
      <c r="X189" s="8">
        <v>237.17</v>
      </c>
      <c r="Y189" s="8">
        <f t="shared" si="31"/>
        <v>71.150999999999996</v>
      </c>
      <c r="Z189" s="8">
        <f t="shared" si="16"/>
        <v>0</v>
      </c>
      <c r="AA189" s="8">
        <v>165.75</v>
      </c>
      <c r="AB189" s="8">
        <f t="shared" si="32"/>
        <v>49.725000000000001</v>
      </c>
      <c r="AC189" s="8">
        <f t="shared" si="18"/>
        <v>0</v>
      </c>
      <c r="AD189" s="8"/>
      <c r="AE189" s="8">
        <f t="shared" si="33"/>
        <v>0</v>
      </c>
      <c r="AF189" s="9">
        <f t="shared" si="20"/>
        <v>0</v>
      </c>
    </row>
    <row r="190" spans="1:32" ht="12.6" customHeight="1" x14ac:dyDescent="0.3">
      <c r="A190" s="6"/>
      <c r="B190" s="7" t="s">
        <v>376</v>
      </c>
      <c r="C190" s="7" t="s">
        <v>377</v>
      </c>
      <c r="D190" s="8">
        <v>170.73</v>
      </c>
      <c r="E190" s="8">
        <f t="shared" si="26"/>
        <v>51.218999999999994</v>
      </c>
      <c r="F190" s="8">
        <f t="shared" si="1"/>
        <v>0</v>
      </c>
      <c r="G190" s="8"/>
      <c r="H190" s="8"/>
      <c r="I190" s="8">
        <v>180.94</v>
      </c>
      <c r="J190" s="8">
        <f t="shared" si="27"/>
        <v>54.281999999999996</v>
      </c>
      <c r="K190" s="8">
        <f t="shared" si="4"/>
        <v>0</v>
      </c>
      <c r="L190" s="8">
        <f t="shared" si="42"/>
        <v>170.73</v>
      </c>
      <c r="M190" s="8">
        <f t="shared" si="5"/>
        <v>44.389800000000001</v>
      </c>
      <c r="N190" s="8">
        <f t="shared" si="6"/>
        <v>0</v>
      </c>
      <c r="O190" s="8">
        <f t="shared" si="36"/>
        <v>170.73</v>
      </c>
      <c r="P190" s="8">
        <f t="shared" si="28"/>
        <v>51.218999999999994</v>
      </c>
      <c r="Q190" s="8">
        <f t="shared" si="8"/>
        <v>0</v>
      </c>
      <c r="R190" s="8">
        <f t="shared" si="37"/>
        <v>170.73</v>
      </c>
      <c r="S190" s="8">
        <f t="shared" si="29"/>
        <v>51.218999999999994</v>
      </c>
      <c r="T190" s="8">
        <f t="shared" si="11"/>
        <v>0</v>
      </c>
      <c r="U190" s="8">
        <f t="shared" si="41"/>
        <v>180.94</v>
      </c>
      <c r="V190" s="8">
        <f t="shared" si="30"/>
        <v>54.281999999999996</v>
      </c>
      <c r="W190" s="8">
        <f t="shared" si="14"/>
        <v>0</v>
      </c>
      <c r="X190" s="8">
        <v>284.24</v>
      </c>
      <c r="Y190" s="8">
        <f t="shared" si="31"/>
        <v>85.272000000000006</v>
      </c>
      <c r="Z190" s="8">
        <f t="shared" si="16"/>
        <v>0</v>
      </c>
      <c r="AA190" s="8">
        <v>180.94</v>
      </c>
      <c r="AB190" s="8">
        <f t="shared" si="32"/>
        <v>54.281999999999996</v>
      </c>
      <c r="AC190" s="8">
        <f t="shared" si="18"/>
        <v>0</v>
      </c>
      <c r="AD190" s="8"/>
      <c r="AE190" s="8">
        <f t="shared" si="33"/>
        <v>0</v>
      </c>
      <c r="AF190" s="9">
        <f t="shared" si="20"/>
        <v>0</v>
      </c>
    </row>
    <row r="191" spans="1:32" ht="12.6" customHeight="1" x14ac:dyDescent="0.3">
      <c r="A191" s="6"/>
      <c r="B191" s="7" t="s">
        <v>378</v>
      </c>
      <c r="C191" s="7" t="s">
        <v>379</v>
      </c>
      <c r="D191" s="8">
        <v>152.52000000000001</v>
      </c>
      <c r="E191" s="8">
        <f t="shared" si="26"/>
        <v>45.756</v>
      </c>
      <c r="F191" s="8">
        <f t="shared" si="1"/>
        <v>0</v>
      </c>
      <c r="G191" s="8"/>
      <c r="H191" s="8"/>
      <c r="I191" s="8">
        <f>D191</f>
        <v>152.52000000000001</v>
      </c>
      <c r="J191" s="8">
        <f t="shared" si="27"/>
        <v>45.756</v>
      </c>
      <c r="K191" s="8">
        <f t="shared" si="4"/>
        <v>0</v>
      </c>
      <c r="L191" s="8">
        <v>152.52000000000001</v>
      </c>
      <c r="M191" s="8">
        <f t="shared" si="5"/>
        <v>39.655200000000001</v>
      </c>
      <c r="N191" s="8">
        <f t="shared" si="6"/>
        <v>0</v>
      </c>
      <c r="O191" s="8">
        <f t="shared" si="36"/>
        <v>152.52000000000001</v>
      </c>
      <c r="P191" s="8">
        <f t="shared" si="28"/>
        <v>45.756</v>
      </c>
      <c r="Q191" s="8">
        <f t="shared" si="8"/>
        <v>0</v>
      </c>
      <c r="R191" s="8">
        <f t="shared" si="37"/>
        <v>152.52000000000001</v>
      </c>
      <c r="S191" s="8">
        <f t="shared" si="29"/>
        <v>45.756</v>
      </c>
      <c r="T191" s="8">
        <f t="shared" si="11"/>
        <v>0</v>
      </c>
      <c r="U191" s="8">
        <f t="shared" si="41"/>
        <v>152.52000000000001</v>
      </c>
      <c r="V191" s="8">
        <f t="shared" si="30"/>
        <v>45.756</v>
      </c>
      <c r="W191" s="8">
        <f t="shared" si="14"/>
        <v>0</v>
      </c>
      <c r="X191" s="8">
        <v>227.37</v>
      </c>
      <c r="Y191" s="8">
        <f t="shared" si="31"/>
        <v>68.210999999999999</v>
      </c>
      <c r="Z191" s="8">
        <f t="shared" si="16"/>
        <v>0</v>
      </c>
      <c r="AA191" s="8">
        <v>160.1</v>
      </c>
      <c r="AB191" s="8">
        <f t="shared" si="32"/>
        <v>48.029999999999994</v>
      </c>
      <c r="AC191" s="8">
        <f t="shared" si="18"/>
        <v>0</v>
      </c>
      <c r="AD191" s="8">
        <v>166.27</v>
      </c>
      <c r="AE191" s="8">
        <f t="shared" si="33"/>
        <v>49.881</v>
      </c>
      <c r="AF191" s="9">
        <f t="shared" si="20"/>
        <v>0</v>
      </c>
    </row>
    <row r="192" spans="1:32" ht="12.6" customHeight="1" x14ac:dyDescent="0.3">
      <c r="A192" s="6"/>
      <c r="B192" s="7" t="s">
        <v>380</v>
      </c>
      <c r="C192" s="7" t="s">
        <v>381</v>
      </c>
      <c r="D192" s="8">
        <v>172.92</v>
      </c>
      <c r="E192" s="8">
        <f t="shared" si="26"/>
        <v>51.875999999999998</v>
      </c>
      <c r="F192" s="8">
        <f t="shared" si="1"/>
        <v>0</v>
      </c>
      <c r="G192" s="8"/>
      <c r="H192" s="8"/>
      <c r="I192" s="8">
        <v>174.35</v>
      </c>
      <c r="J192" s="8">
        <f t="shared" si="27"/>
        <v>52.305</v>
      </c>
      <c r="K192" s="8">
        <f t="shared" si="4"/>
        <v>0</v>
      </c>
      <c r="L192" s="8">
        <f t="shared" ref="L192:L194" si="43">D192*1.21</f>
        <v>209.23319999999998</v>
      </c>
      <c r="M192" s="8">
        <f t="shared" si="5"/>
        <v>54.400631999999995</v>
      </c>
      <c r="N192" s="8">
        <f t="shared" si="6"/>
        <v>0</v>
      </c>
      <c r="O192" s="8">
        <f t="shared" si="36"/>
        <v>209.23319999999998</v>
      </c>
      <c r="P192" s="8">
        <f t="shared" si="28"/>
        <v>62.76995999999999</v>
      </c>
      <c r="Q192" s="8">
        <f t="shared" si="8"/>
        <v>0</v>
      </c>
      <c r="R192" s="8">
        <f t="shared" si="37"/>
        <v>209.23319999999998</v>
      </c>
      <c r="S192" s="8">
        <f t="shared" si="29"/>
        <v>62.76995999999999</v>
      </c>
      <c r="T192" s="8">
        <f t="shared" si="11"/>
        <v>0</v>
      </c>
      <c r="U192" s="8">
        <f t="shared" si="41"/>
        <v>174.35</v>
      </c>
      <c r="V192" s="8">
        <f t="shared" si="30"/>
        <v>52.305</v>
      </c>
      <c r="W192" s="8">
        <f t="shared" si="14"/>
        <v>0</v>
      </c>
      <c r="X192" s="8">
        <f t="shared" ref="X192:X194" si="44">L192*1.21</f>
        <v>253.17217199999996</v>
      </c>
      <c r="Y192" s="8">
        <f t="shared" si="31"/>
        <v>75.951651599999991</v>
      </c>
      <c r="Z192" s="8">
        <f t="shared" si="16"/>
        <v>0</v>
      </c>
      <c r="AA192" s="8">
        <v>217.47</v>
      </c>
      <c r="AB192" s="8">
        <f t="shared" si="32"/>
        <v>65.241</v>
      </c>
      <c r="AC192" s="8">
        <f t="shared" si="18"/>
        <v>0</v>
      </c>
      <c r="AD192" s="8">
        <v>237.1</v>
      </c>
      <c r="AE192" s="8">
        <f t="shared" si="33"/>
        <v>71.13</v>
      </c>
      <c r="AF192" s="9">
        <f t="shared" si="20"/>
        <v>0</v>
      </c>
    </row>
    <row r="193" spans="1:32" ht="12.6" customHeight="1" x14ac:dyDescent="0.3">
      <c r="A193" s="6"/>
      <c r="B193" s="7" t="s">
        <v>382</v>
      </c>
      <c r="C193" s="7" t="s">
        <v>383</v>
      </c>
      <c r="D193" s="8">
        <v>61.94</v>
      </c>
      <c r="E193" s="8">
        <f t="shared" si="26"/>
        <v>18.581999999999997</v>
      </c>
      <c r="F193" s="8">
        <f t="shared" si="1"/>
        <v>0</v>
      </c>
      <c r="G193" s="8"/>
      <c r="H193" s="8"/>
      <c r="I193" s="8">
        <v>62.45</v>
      </c>
      <c r="J193" s="8">
        <f t="shared" si="27"/>
        <v>18.734999999999999</v>
      </c>
      <c r="K193" s="8">
        <f t="shared" si="4"/>
        <v>0</v>
      </c>
      <c r="L193" s="8">
        <f t="shared" si="43"/>
        <v>74.947400000000002</v>
      </c>
      <c r="M193" s="8">
        <f t="shared" si="5"/>
        <v>19.486324</v>
      </c>
      <c r="N193" s="8">
        <f t="shared" si="6"/>
        <v>0</v>
      </c>
      <c r="O193" s="8">
        <f t="shared" si="36"/>
        <v>74.947400000000002</v>
      </c>
      <c r="P193" s="8">
        <f t="shared" si="28"/>
        <v>22.484220000000001</v>
      </c>
      <c r="Q193" s="8">
        <f t="shared" si="8"/>
        <v>0</v>
      </c>
      <c r="R193" s="8">
        <f t="shared" si="37"/>
        <v>74.947400000000002</v>
      </c>
      <c r="S193" s="8">
        <f t="shared" si="29"/>
        <v>22.484220000000001</v>
      </c>
      <c r="T193" s="8">
        <f t="shared" si="11"/>
        <v>0</v>
      </c>
      <c r="U193" s="8">
        <f t="shared" si="41"/>
        <v>62.45</v>
      </c>
      <c r="V193" s="8">
        <f t="shared" si="30"/>
        <v>18.734999999999999</v>
      </c>
      <c r="W193" s="8">
        <f t="shared" si="14"/>
        <v>0</v>
      </c>
      <c r="X193" s="8">
        <f t="shared" si="44"/>
        <v>90.686353999999994</v>
      </c>
      <c r="Y193" s="8">
        <f t="shared" si="31"/>
        <v>27.205906199999998</v>
      </c>
      <c r="Z193" s="8">
        <f t="shared" si="16"/>
        <v>0</v>
      </c>
      <c r="AA193" s="8"/>
      <c r="AB193" s="8">
        <f t="shared" si="32"/>
        <v>0</v>
      </c>
      <c r="AC193" s="8">
        <f t="shared" si="18"/>
        <v>0</v>
      </c>
      <c r="AD193" s="8"/>
      <c r="AE193" s="8">
        <f t="shared" si="33"/>
        <v>0</v>
      </c>
      <c r="AF193" s="9">
        <f t="shared" si="20"/>
        <v>0</v>
      </c>
    </row>
    <row r="194" spans="1:32" ht="12.6" customHeight="1" x14ac:dyDescent="0.3">
      <c r="A194" s="6"/>
      <c r="B194" s="7" t="s">
        <v>384</v>
      </c>
      <c r="C194" s="7" t="s">
        <v>361</v>
      </c>
      <c r="D194" s="8">
        <v>219.86</v>
      </c>
      <c r="E194" s="8">
        <f t="shared" si="26"/>
        <v>65.957999999999998</v>
      </c>
      <c r="F194" s="8">
        <f t="shared" si="1"/>
        <v>0</v>
      </c>
      <c r="G194" s="8"/>
      <c r="H194" s="8"/>
      <c r="I194" s="8">
        <v>221.7</v>
      </c>
      <c r="J194" s="8">
        <f t="shared" si="27"/>
        <v>66.509999999999991</v>
      </c>
      <c r="K194" s="8">
        <f t="shared" si="4"/>
        <v>0</v>
      </c>
      <c r="L194" s="8">
        <f t="shared" si="43"/>
        <v>266.03059999999999</v>
      </c>
      <c r="M194" s="8">
        <f t="shared" si="5"/>
        <v>69.167956000000004</v>
      </c>
      <c r="N194" s="8">
        <f t="shared" si="6"/>
        <v>0</v>
      </c>
      <c r="O194" s="8">
        <f t="shared" si="36"/>
        <v>266.03059999999999</v>
      </c>
      <c r="P194" s="8">
        <f t="shared" si="28"/>
        <v>79.809179999999998</v>
      </c>
      <c r="Q194" s="8">
        <f t="shared" si="8"/>
        <v>0</v>
      </c>
      <c r="R194" s="8">
        <f t="shared" si="37"/>
        <v>266.03059999999999</v>
      </c>
      <c r="S194" s="8">
        <f t="shared" si="29"/>
        <v>79.809179999999998</v>
      </c>
      <c r="T194" s="8">
        <f t="shared" si="11"/>
        <v>0</v>
      </c>
      <c r="U194" s="8">
        <f t="shared" si="41"/>
        <v>221.7</v>
      </c>
      <c r="V194" s="8">
        <f t="shared" si="30"/>
        <v>66.509999999999991</v>
      </c>
      <c r="W194" s="8">
        <f t="shared" si="14"/>
        <v>0</v>
      </c>
      <c r="X194" s="8">
        <f t="shared" si="44"/>
        <v>321.89702599999998</v>
      </c>
      <c r="Y194" s="8">
        <f t="shared" si="31"/>
        <v>96.569107799999998</v>
      </c>
      <c r="Z194" s="8">
        <f t="shared" si="16"/>
        <v>0</v>
      </c>
      <c r="AA194" s="8"/>
      <c r="AB194" s="8">
        <f t="shared" si="32"/>
        <v>0</v>
      </c>
      <c r="AC194" s="8">
        <f t="shared" si="18"/>
        <v>0</v>
      </c>
      <c r="AD194" s="8"/>
      <c r="AE194" s="8">
        <f t="shared" si="33"/>
        <v>0</v>
      </c>
      <c r="AF194" s="9">
        <f t="shared" si="20"/>
        <v>0</v>
      </c>
    </row>
    <row r="195" spans="1:32" ht="12.6" customHeight="1" x14ac:dyDescent="0.3">
      <c r="A195" s="6"/>
      <c r="B195" s="7" t="s">
        <v>385</v>
      </c>
      <c r="C195" s="7" t="s">
        <v>386</v>
      </c>
      <c r="D195" s="8">
        <v>138.69</v>
      </c>
      <c r="E195" s="8">
        <f t="shared" si="26"/>
        <v>41.606999999999999</v>
      </c>
      <c r="F195" s="8">
        <f t="shared" si="1"/>
        <v>0</v>
      </c>
      <c r="G195" s="8"/>
      <c r="H195" s="8"/>
      <c r="I195" s="8">
        <v>148.19999999999999</v>
      </c>
      <c r="J195" s="8">
        <f t="shared" si="27"/>
        <v>44.459999999999994</v>
      </c>
      <c r="K195" s="8">
        <f t="shared" si="4"/>
        <v>0</v>
      </c>
      <c r="L195" s="8">
        <f t="shared" ref="L195:L199" si="45">D195</f>
        <v>138.69</v>
      </c>
      <c r="M195" s="8">
        <f t="shared" si="5"/>
        <v>36.059400000000004</v>
      </c>
      <c r="N195" s="8">
        <f t="shared" si="6"/>
        <v>0</v>
      </c>
      <c r="O195" s="8">
        <f t="shared" si="36"/>
        <v>138.69</v>
      </c>
      <c r="P195" s="8">
        <f t="shared" si="28"/>
        <v>41.606999999999999</v>
      </c>
      <c r="Q195" s="8">
        <f t="shared" si="8"/>
        <v>0</v>
      </c>
      <c r="R195" s="8">
        <f t="shared" si="37"/>
        <v>138.69</v>
      </c>
      <c r="S195" s="8">
        <f t="shared" si="29"/>
        <v>41.606999999999999</v>
      </c>
      <c r="T195" s="8">
        <f t="shared" si="11"/>
        <v>0</v>
      </c>
      <c r="U195" s="8">
        <f t="shared" si="41"/>
        <v>148.19999999999999</v>
      </c>
      <c r="V195" s="8">
        <f t="shared" si="30"/>
        <v>44.459999999999994</v>
      </c>
      <c r="W195" s="8">
        <f t="shared" si="14"/>
        <v>0</v>
      </c>
      <c r="X195" s="8">
        <v>213.76</v>
      </c>
      <c r="Y195" s="8">
        <f t="shared" si="31"/>
        <v>64.128</v>
      </c>
      <c r="Z195" s="8">
        <f t="shared" si="16"/>
        <v>0</v>
      </c>
      <c r="AA195" s="8">
        <v>139.83000000000001</v>
      </c>
      <c r="AB195" s="8">
        <f t="shared" si="32"/>
        <v>41.949000000000005</v>
      </c>
      <c r="AC195" s="8">
        <f t="shared" si="18"/>
        <v>0</v>
      </c>
      <c r="AD195" s="8">
        <v>152.38999999999999</v>
      </c>
      <c r="AE195" s="8">
        <f t="shared" si="33"/>
        <v>45.716999999999992</v>
      </c>
      <c r="AF195" s="9">
        <f t="shared" si="20"/>
        <v>0</v>
      </c>
    </row>
    <row r="196" spans="1:32" ht="12.6" customHeight="1" x14ac:dyDescent="0.3">
      <c r="A196" s="6"/>
      <c r="B196" s="7" t="s">
        <v>387</v>
      </c>
      <c r="C196" s="7" t="s">
        <v>388</v>
      </c>
      <c r="D196" s="8">
        <v>148.63999999999999</v>
      </c>
      <c r="E196" s="8">
        <f t="shared" si="26"/>
        <v>44.591999999999992</v>
      </c>
      <c r="F196" s="8">
        <f t="shared" si="1"/>
        <v>0</v>
      </c>
      <c r="G196" s="8"/>
      <c r="H196" s="8"/>
      <c r="I196" s="8">
        <v>157.53</v>
      </c>
      <c r="J196" s="8">
        <f t="shared" si="27"/>
        <v>47.259</v>
      </c>
      <c r="K196" s="8">
        <f t="shared" si="4"/>
        <v>0</v>
      </c>
      <c r="L196" s="8">
        <f t="shared" si="45"/>
        <v>148.63999999999999</v>
      </c>
      <c r="M196" s="8">
        <f t="shared" si="5"/>
        <v>38.6464</v>
      </c>
      <c r="N196" s="8">
        <f t="shared" si="6"/>
        <v>0</v>
      </c>
      <c r="O196" s="8">
        <f t="shared" si="36"/>
        <v>148.63999999999999</v>
      </c>
      <c r="P196" s="8">
        <f t="shared" si="28"/>
        <v>44.591999999999992</v>
      </c>
      <c r="Q196" s="8">
        <f t="shared" si="8"/>
        <v>0</v>
      </c>
      <c r="R196" s="8">
        <f t="shared" si="37"/>
        <v>148.63999999999999</v>
      </c>
      <c r="S196" s="8">
        <f t="shared" si="29"/>
        <v>44.591999999999992</v>
      </c>
      <c r="T196" s="8">
        <f t="shared" si="11"/>
        <v>0</v>
      </c>
      <c r="U196" s="8">
        <f t="shared" si="41"/>
        <v>157.53</v>
      </c>
      <c r="V196" s="8">
        <f t="shared" si="30"/>
        <v>47.259</v>
      </c>
      <c r="W196" s="8">
        <f t="shared" si="14"/>
        <v>0</v>
      </c>
      <c r="X196" s="8">
        <v>320.62</v>
      </c>
      <c r="Y196" s="8">
        <f t="shared" si="31"/>
        <v>96.185999999999993</v>
      </c>
      <c r="Z196" s="8">
        <f t="shared" si="16"/>
        <v>0</v>
      </c>
      <c r="AA196" s="8">
        <v>165.15</v>
      </c>
      <c r="AB196" s="8">
        <f t="shared" si="32"/>
        <v>49.545000000000002</v>
      </c>
      <c r="AC196" s="8">
        <f t="shared" si="18"/>
        <v>0</v>
      </c>
      <c r="AD196" s="8">
        <v>179.99</v>
      </c>
      <c r="AE196" s="8">
        <f t="shared" si="33"/>
        <v>53.997</v>
      </c>
      <c r="AF196" s="9">
        <f t="shared" si="20"/>
        <v>0</v>
      </c>
    </row>
    <row r="197" spans="1:32" ht="12.6" customHeight="1" x14ac:dyDescent="0.3">
      <c r="A197" s="6"/>
      <c r="B197" s="7" t="s">
        <v>389</v>
      </c>
      <c r="C197" s="7" t="s">
        <v>390</v>
      </c>
      <c r="D197" s="8">
        <v>59.73</v>
      </c>
      <c r="E197" s="8">
        <f t="shared" si="26"/>
        <v>17.918999999999997</v>
      </c>
      <c r="F197" s="8">
        <f t="shared" si="1"/>
        <v>0</v>
      </c>
      <c r="G197" s="8"/>
      <c r="H197" s="8"/>
      <c r="I197" s="8">
        <v>67.75</v>
      </c>
      <c r="J197" s="8">
        <f t="shared" si="27"/>
        <v>20.324999999999999</v>
      </c>
      <c r="K197" s="8">
        <f t="shared" si="4"/>
        <v>0</v>
      </c>
      <c r="L197" s="8">
        <f t="shared" si="45"/>
        <v>59.73</v>
      </c>
      <c r="M197" s="8">
        <f t="shared" si="5"/>
        <v>15.5298</v>
      </c>
      <c r="N197" s="8">
        <f t="shared" si="6"/>
        <v>0</v>
      </c>
      <c r="O197" s="8">
        <f t="shared" si="36"/>
        <v>59.73</v>
      </c>
      <c r="P197" s="8">
        <f t="shared" si="28"/>
        <v>17.918999999999997</v>
      </c>
      <c r="Q197" s="8">
        <f t="shared" si="8"/>
        <v>0</v>
      </c>
      <c r="R197" s="8">
        <f t="shared" si="37"/>
        <v>59.73</v>
      </c>
      <c r="S197" s="8">
        <f t="shared" si="29"/>
        <v>17.918999999999997</v>
      </c>
      <c r="T197" s="8">
        <f t="shared" si="11"/>
        <v>0</v>
      </c>
      <c r="U197" s="8">
        <f t="shared" si="41"/>
        <v>67.75</v>
      </c>
      <c r="V197" s="8">
        <f t="shared" si="30"/>
        <v>20.324999999999999</v>
      </c>
      <c r="W197" s="8">
        <f t="shared" si="14"/>
        <v>0</v>
      </c>
      <c r="X197" s="8">
        <v>84.27</v>
      </c>
      <c r="Y197" s="8">
        <f t="shared" si="31"/>
        <v>25.280999999999999</v>
      </c>
      <c r="Z197" s="8">
        <f t="shared" si="16"/>
        <v>0</v>
      </c>
      <c r="AA197" s="8">
        <v>63.97</v>
      </c>
      <c r="AB197" s="8">
        <f t="shared" si="32"/>
        <v>19.190999999999999</v>
      </c>
      <c r="AC197" s="8">
        <f t="shared" si="18"/>
        <v>0</v>
      </c>
      <c r="AD197" s="8">
        <v>69.790000000000006</v>
      </c>
      <c r="AE197" s="8">
        <f t="shared" si="33"/>
        <v>20.937000000000001</v>
      </c>
      <c r="AF197" s="9">
        <f t="shared" si="20"/>
        <v>0</v>
      </c>
    </row>
    <row r="198" spans="1:32" ht="12.6" customHeight="1" x14ac:dyDescent="0.3">
      <c r="A198" s="6"/>
      <c r="B198" s="7" t="s">
        <v>391</v>
      </c>
      <c r="C198" s="7" t="s">
        <v>392</v>
      </c>
      <c r="D198" s="8">
        <v>43.56</v>
      </c>
      <c r="E198" s="8">
        <f t="shared" si="26"/>
        <v>13.068</v>
      </c>
      <c r="F198" s="8">
        <f t="shared" si="1"/>
        <v>0</v>
      </c>
      <c r="G198" s="8"/>
      <c r="H198" s="8"/>
      <c r="I198" s="8">
        <v>53.42</v>
      </c>
      <c r="J198" s="8">
        <f t="shared" si="27"/>
        <v>16.026</v>
      </c>
      <c r="K198" s="8">
        <f t="shared" si="4"/>
        <v>0</v>
      </c>
      <c r="L198" s="8">
        <f t="shared" si="45"/>
        <v>43.56</v>
      </c>
      <c r="M198" s="8">
        <f t="shared" si="5"/>
        <v>11.325600000000001</v>
      </c>
      <c r="N198" s="8">
        <f t="shared" si="6"/>
        <v>0</v>
      </c>
      <c r="O198" s="8">
        <f t="shared" si="36"/>
        <v>43.56</v>
      </c>
      <c r="P198" s="8">
        <f t="shared" si="28"/>
        <v>13.068</v>
      </c>
      <c r="Q198" s="8">
        <f t="shared" si="8"/>
        <v>0</v>
      </c>
      <c r="R198" s="8">
        <f t="shared" si="37"/>
        <v>43.56</v>
      </c>
      <c r="S198" s="8">
        <f t="shared" si="29"/>
        <v>13.068</v>
      </c>
      <c r="T198" s="8">
        <f t="shared" si="11"/>
        <v>0</v>
      </c>
      <c r="U198" s="8">
        <f t="shared" si="41"/>
        <v>53.42</v>
      </c>
      <c r="V198" s="8">
        <f t="shared" si="30"/>
        <v>16.026</v>
      </c>
      <c r="W198" s="8">
        <f t="shared" si="14"/>
        <v>0</v>
      </c>
      <c r="X198" s="8">
        <v>61.46</v>
      </c>
      <c r="Y198" s="8">
        <f t="shared" si="31"/>
        <v>18.437999999999999</v>
      </c>
      <c r="Z198" s="8">
        <f t="shared" si="16"/>
        <v>0</v>
      </c>
      <c r="AA198" s="8">
        <v>48.41</v>
      </c>
      <c r="AB198" s="8">
        <f t="shared" si="32"/>
        <v>14.522999999999998</v>
      </c>
      <c r="AC198" s="8">
        <f t="shared" si="18"/>
        <v>0</v>
      </c>
      <c r="AD198" s="8">
        <v>57.48</v>
      </c>
      <c r="AE198" s="8">
        <f t="shared" si="33"/>
        <v>17.244</v>
      </c>
      <c r="AF198" s="9">
        <f t="shared" si="20"/>
        <v>0</v>
      </c>
    </row>
    <row r="199" spans="1:32" ht="12.6" customHeight="1" x14ac:dyDescent="0.3">
      <c r="A199" s="6"/>
      <c r="B199" s="7" t="s">
        <v>393</v>
      </c>
      <c r="C199" s="7" t="s">
        <v>394</v>
      </c>
      <c r="D199" s="8">
        <v>28.15</v>
      </c>
      <c r="E199" s="8">
        <f t="shared" si="26"/>
        <v>8.4449999999999985</v>
      </c>
      <c r="F199" s="8">
        <f t="shared" si="1"/>
        <v>0</v>
      </c>
      <c r="G199" s="8"/>
      <c r="H199" s="8"/>
      <c r="I199" s="8">
        <v>52.06</v>
      </c>
      <c r="J199" s="8">
        <f t="shared" si="27"/>
        <v>15.618</v>
      </c>
      <c r="K199" s="8">
        <f t="shared" si="4"/>
        <v>0</v>
      </c>
      <c r="L199" s="8">
        <f t="shared" si="45"/>
        <v>28.15</v>
      </c>
      <c r="M199" s="8">
        <f t="shared" si="5"/>
        <v>7.319</v>
      </c>
      <c r="N199" s="8">
        <f t="shared" si="6"/>
        <v>0</v>
      </c>
      <c r="O199" s="8">
        <f t="shared" si="36"/>
        <v>28.15</v>
      </c>
      <c r="P199" s="8">
        <f t="shared" si="28"/>
        <v>8.4449999999999985</v>
      </c>
      <c r="Q199" s="8">
        <f t="shared" si="8"/>
        <v>0</v>
      </c>
      <c r="R199" s="8">
        <f t="shared" si="37"/>
        <v>28.15</v>
      </c>
      <c r="S199" s="8">
        <f t="shared" si="29"/>
        <v>8.4449999999999985</v>
      </c>
      <c r="T199" s="8">
        <f t="shared" si="11"/>
        <v>0</v>
      </c>
      <c r="U199" s="8">
        <f t="shared" si="41"/>
        <v>52.06</v>
      </c>
      <c r="V199" s="8">
        <f t="shared" si="30"/>
        <v>15.618</v>
      </c>
      <c r="W199" s="8">
        <f t="shared" si="14"/>
        <v>0</v>
      </c>
      <c r="X199" s="8">
        <v>61.46</v>
      </c>
      <c r="Y199" s="8">
        <f t="shared" si="31"/>
        <v>18.437999999999999</v>
      </c>
      <c r="Z199" s="8">
        <f t="shared" si="16"/>
        <v>0</v>
      </c>
      <c r="AA199" s="8">
        <v>47.6</v>
      </c>
      <c r="AB199" s="8">
        <f t="shared" si="32"/>
        <v>14.28</v>
      </c>
      <c r="AC199" s="8">
        <f t="shared" si="18"/>
        <v>0</v>
      </c>
      <c r="AD199" s="8">
        <v>55.71</v>
      </c>
      <c r="AE199" s="8">
        <f t="shared" si="33"/>
        <v>16.713000000000001</v>
      </c>
      <c r="AF199" s="9">
        <f t="shared" si="20"/>
        <v>0</v>
      </c>
    </row>
    <row r="200" spans="1:32" ht="12.6" customHeight="1" x14ac:dyDescent="0.3">
      <c r="A200" s="6"/>
      <c r="B200" s="7" t="s">
        <v>395</v>
      </c>
      <c r="C200" s="7" t="s">
        <v>396</v>
      </c>
      <c r="D200" s="8">
        <v>93.28</v>
      </c>
      <c r="E200" s="8">
        <f t="shared" si="26"/>
        <v>27.983999999999998</v>
      </c>
      <c r="F200" s="8">
        <f t="shared" si="1"/>
        <v>0</v>
      </c>
      <c r="G200" s="8"/>
      <c r="H200" s="8"/>
      <c r="I200" s="8"/>
      <c r="J200" s="8"/>
      <c r="K200" s="8">
        <f t="shared" si="4"/>
        <v>0</v>
      </c>
      <c r="L200" s="8"/>
      <c r="M200" s="8"/>
      <c r="N200" s="8">
        <f t="shared" si="6"/>
        <v>0</v>
      </c>
      <c r="O200" s="8"/>
      <c r="P200" s="8"/>
      <c r="Q200" s="8">
        <f t="shared" si="8"/>
        <v>0</v>
      </c>
      <c r="R200" s="8"/>
      <c r="S200" s="8"/>
      <c r="T200" s="8">
        <f t="shared" si="11"/>
        <v>0</v>
      </c>
      <c r="U200" s="8"/>
      <c r="V200" s="8"/>
      <c r="W200" s="8">
        <f t="shared" si="14"/>
        <v>0</v>
      </c>
      <c r="X200" s="8"/>
      <c r="Y200" s="8"/>
      <c r="Z200" s="8">
        <f t="shared" si="16"/>
        <v>0</v>
      </c>
      <c r="AA200" s="8"/>
      <c r="AB200" s="8"/>
      <c r="AC200" s="8">
        <f t="shared" si="18"/>
        <v>0</v>
      </c>
      <c r="AD200" s="8"/>
      <c r="AE200" s="8">
        <f t="shared" si="33"/>
        <v>0</v>
      </c>
      <c r="AF200" s="9">
        <f t="shared" si="20"/>
        <v>0</v>
      </c>
    </row>
    <row r="201" spans="1:32" ht="12.6" customHeight="1" x14ac:dyDescent="0.3">
      <c r="A201" s="6"/>
      <c r="B201" s="7" t="s">
        <v>397</v>
      </c>
      <c r="C201" s="7" t="s">
        <v>398</v>
      </c>
      <c r="D201" s="8">
        <v>102.54</v>
      </c>
      <c r="E201" s="8">
        <f t="shared" si="26"/>
        <v>30.762</v>
      </c>
      <c r="F201" s="8">
        <f t="shared" si="1"/>
        <v>0</v>
      </c>
      <c r="G201" s="8"/>
      <c r="H201" s="8"/>
      <c r="I201" s="8"/>
      <c r="J201" s="8"/>
      <c r="K201" s="8">
        <f t="shared" si="4"/>
        <v>0</v>
      </c>
      <c r="L201" s="8"/>
      <c r="M201" s="8"/>
      <c r="N201" s="8">
        <f t="shared" si="6"/>
        <v>0</v>
      </c>
      <c r="O201" s="8"/>
      <c r="P201" s="8"/>
      <c r="Q201" s="8">
        <f t="shared" si="8"/>
        <v>0</v>
      </c>
      <c r="R201" s="8"/>
      <c r="S201" s="8"/>
      <c r="T201" s="8">
        <f t="shared" si="11"/>
        <v>0</v>
      </c>
      <c r="U201" s="8"/>
      <c r="V201" s="8"/>
      <c r="W201" s="8">
        <f t="shared" si="14"/>
        <v>0</v>
      </c>
      <c r="X201" s="8"/>
      <c r="Y201" s="8"/>
      <c r="Z201" s="8">
        <f t="shared" si="16"/>
        <v>0</v>
      </c>
      <c r="AA201" s="8"/>
      <c r="AB201" s="8"/>
      <c r="AC201" s="8">
        <f t="shared" si="18"/>
        <v>0</v>
      </c>
      <c r="AD201" s="8"/>
      <c r="AE201" s="8">
        <f t="shared" si="33"/>
        <v>0</v>
      </c>
      <c r="AF201" s="9">
        <f t="shared" si="20"/>
        <v>0</v>
      </c>
    </row>
    <row r="202" spans="1:32" ht="12.6" customHeight="1" x14ac:dyDescent="0.3">
      <c r="A202" s="6"/>
      <c r="B202" s="7" t="s">
        <v>399</v>
      </c>
      <c r="C202" s="7" t="s">
        <v>400</v>
      </c>
      <c r="D202" s="8">
        <v>105.86</v>
      </c>
      <c r="E202" s="8">
        <f t="shared" si="26"/>
        <v>31.757999999999999</v>
      </c>
      <c r="F202" s="8">
        <f t="shared" si="1"/>
        <v>0</v>
      </c>
      <c r="G202" s="8"/>
      <c r="H202" s="8"/>
      <c r="I202" s="8"/>
      <c r="J202" s="8"/>
      <c r="K202" s="8">
        <f t="shared" si="4"/>
        <v>0</v>
      </c>
      <c r="L202" s="8"/>
      <c r="M202" s="8"/>
      <c r="N202" s="8">
        <f t="shared" si="6"/>
        <v>0</v>
      </c>
      <c r="O202" s="8"/>
      <c r="P202" s="8"/>
      <c r="Q202" s="8">
        <f t="shared" si="8"/>
        <v>0</v>
      </c>
      <c r="R202" s="8"/>
      <c r="S202" s="8"/>
      <c r="T202" s="8">
        <f t="shared" si="11"/>
        <v>0</v>
      </c>
      <c r="U202" s="8"/>
      <c r="V202" s="8"/>
      <c r="W202" s="8">
        <f t="shared" si="14"/>
        <v>0</v>
      </c>
      <c r="X202" s="8"/>
      <c r="Y202" s="8"/>
      <c r="Z202" s="8">
        <f t="shared" si="16"/>
        <v>0</v>
      </c>
      <c r="AA202" s="8"/>
      <c r="AB202" s="8"/>
      <c r="AC202" s="8">
        <f t="shared" si="18"/>
        <v>0</v>
      </c>
      <c r="AD202" s="8"/>
      <c r="AE202" s="8">
        <f t="shared" si="33"/>
        <v>0</v>
      </c>
      <c r="AF202" s="9">
        <f t="shared" si="20"/>
        <v>0</v>
      </c>
    </row>
    <row r="203" spans="1:32" ht="12.6" customHeight="1" x14ac:dyDescent="0.3">
      <c r="A203" s="6"/>
      <c r="B203" s="7" t="s">
        <v>401</v>
      </c>
      <c r="C203" s="7" t="s">
        <v>402</v>
      </c>
      <c r="D203" s="8">
        <v>109.09</v>
      </c>
      <c r="E203" s="8">
        <f t="shared" si="26"/>
        <v>32.726999999999997</v>
      </c>
      <c r="F203" s="8">
        <f t="shared" si="1"/>
        <v>0</v>
      </c>
      <c r="G203" s="8"/>
      <c r="H203" s="8"/>
      <c r="I203" s="8"/>
      <c r="J203" s="8"/>
      <c r="K203" s="8">
        <f t="shared" si="4"/>
        <v>0</v>
      </c>
      <c r="L203" s="8"/>
      <c r="M203" s="8"/>
      <c r="N203" s="8">
        <f t="shared" si="6"/>
        <v>0</v>
      </c>
      <c r="O203" s="8"/>
      <c r="P203" s="8"/>
      <c r="Q203" s="8">
        <f t="shared" si="8"/>
        <v>0</v>
      </c>
      <c r="R203" s="8"/>
      <c r="S203" s="8"/>
      <c r="T203" s="8">
        <f t="shared" si="11"/>
        <v>0</v>
      </c>
      <c r="U203" s="8"/>
      <c r="V203" s="8"/>
      <c r="W203" s="8">
        <f t="shared" si="14"/>
        <v>0</v>
      </c>
      <c r="X203" s="8"/>
      <c r="Y203" s="8"/>
      <c r="Z203" s="8">
        <f t="shared" si="16"/>
        <v>0</v>
      </c>
      <c r="AA203" s="8"/>
      <c r="AB203" s="8"/>
      <c r="AC203" s="8">
        <f t="shared" si="18"/>
        <v>0</v>
      </c>
      <c r="AD203" s="8"/>
      <c r="AE203" s="8">
        <f t="shared" si="33"/>
        <v>0</v>
      </c>
      <c r="AF203" s="9">
        <f t="shared" si="20"/>
        <v>0</v>
      </c>
    </row>
    <row r="204" spans="1:32" ht="12.6" customHeight="1" x14ac:dyDescent="0.3">
      <c r="A204" s="6"/>
      <c r="B204" s="7" t="s">
        <v>403</v>
      </c>
      <c r="C204" s="7" t="s">
        <v>404</v>
      </c>
      <c r="D204" s="8">
        <v>113.58</v>
      </c>
      <c r="E204" s="8">
        <f t="shared" si="26"/>
        <v>34.073999999999998</v>
      </c>
      <c r="F204" s="8">
        <f t="shared" si="1"/>
        <v>0</v>
      </c>
      <c r="G204" s="8"/>
      <c r="H204" s="8"/>
      <c r="I204" s="8"/>
      <c r="J204" s="8"/>
      <c r="K204" s="8">
        <f t="shared" si="4"/>
        <v>0</v>
      </c>
      <c r="L204" s="8"/>
      <c r="M204" s="8"/>
      <c r="N204" s="8">
        <f t="shared" si="6"/>
        <v>0</v>
      </c>
      <c r="O204" s="8"/>
      <c r="P204" s="8"/>
      <c r="Q204" s="8">
        <f t="shared" si="8"/>
        <v>0</v>
      </c>
      <c r="R204" s="8"/>
      <c r="S204" s="8"/>
      <c r="T204" s="8">
        <f t="shared" si="11"/>
        <v>0</v>
      </c>
      <c r="U204" s="8"/>
      <c r="V204" s="8"/>
      <c r="W204" s="8">
        <f t="shared" si="14"/>
        <v>0</v>
      </c>
      <c r="X204" s="8"/>
      <c r="Y204" s="8"/>
      <c r="Z204" s="8">
        <f t="shared" si="16"/>
        <v>0</v>
      </c>
      <c r="AA204" s="8"/>
      <c r="AB204" s="8"/>
      <c r="AC204" s="8">
        <f t="shared" si="18"/>
        <v>0</v>
      </c>
      <c r="AD204" s="8"/>
      <c r="AE204" s="8">
        <f t="shared" si="33"/>
        <v>0</v>
      </c>
      <c r="AF204" s="9">
        <f t="shared" si="20"/>
        <v>0</v>
      </c>
    </row>
    <row r="205" spans="1:32" ht="12.6" customHeight="1" x14ac:dyDescent="0.3">
      <c r="A205" s="6"/>
      <c r="B205" s="7" t="s">
        <v>405</v>
      </c>
      <c r="C205" s="7" t="s">
        <v>406</v>
      </c>
      <c r="D205" s="8">
        <v>118.42</v>
      </c>
      <c r="E205" s="8">
        <f t="shared" si="26"/>
        <v>35.525999999999996</v>
      </c>
      <c r="F205" s="8">
        <f t="shared" si="1"/>
        <v>0</v>
      </c>
      <c r="G205" s="8"/>
      <c r="H205" s="8"/>
      <c r="I205" s="8"/>
      <c r="J205" s="8"/>
      <c r="K205" s="8">
        <f t="shared" si="4"/>
        <v>0</v>
      </c>
      <c r="L205" s="8"/>
      <c r="M205" s="8"/>
      <c r="N205" s="8">
        <f t="shared" si="6"/>
        <v>0</v>
      </c>
      <c r="O205" s="8"/>
      <c r="P205" s="8"/>
      <c r="Q205" s="8">
        <f t="shared" si="8"/>
        <v>0</v>
      </c>
      <c r="R205" s="8"/>
      <c r="S205" s="8"/>
      <c r="T205" s="8">
        <f t="shared" si="11"/>
        <v>0</v>
      </c>
      <c r="U205" s="8"/>
      <c r="V205" s="8"/>
      <c r="W205" s="8">
        <f t="shared" si="14"/>
        <v>0</v>
      </c>
      <c r="X205" s="8"/>
      <c r="Y205" s="8"/>
      <c r="Z205" s="8">
        <f t="shared" si="16"/>
        <v>0</v>
      </c>
      <c r="AA205" s="8"/>
      <c r="AB205" s="8"/>
      <c r="AC205" s="8">
        <f t="shared" si="18"/>
        <v>0</v>
      </c>
      <c r="AD205" s="8"/>
      <c r="AE205" s="8">
        <f t="shared" si="33"/>
        <v>0</v>
      </c>
      <c r="AF205" s="9">
        <f t="shared" si="20"/>
        <v>0</v>
      </c>
    </row>
    <row r="206" spans="1:32" ht="12.6" customHeight="1" x14ac:dyDescent="0.3">
      <c r="A206" s="6"/>
      <c r="B206" s="7" t="s">
        <v>407</v>
      </c>
      <c r="C206" s="7" t="s">
        <v>408</v>
      </c>
      <c r="D206" s="8">
        <v>123.69</v>
      </c>
      <c r="E206" s="8">
        <f t="shared" si="26"/>
        <v>37.106999999999999</v>
      </c>
      <c r="F206" s="8">
        <f t="shared" si="1"/>
        <v>0</v>
      </c>
      <c r="G206" s="8"/>
      <c r="H206" s="8"/>
      <c r="I206" s="8"/>
      <c r="J206" s="8"/>
      <c r="K206" s="8">
        <f t="shared" si="4"/>
        <v>0</v>
      </c>
      <c r="L206" s="8"/>
      <c r="M206" s="8"/>
      <c r="N206" s="8">
        <f t="shared" si="6"/>
        <v>0</v>
      </c>
      <c r="O206" s="8"/>
      <c r="P206" s="8"/>
      <c r="Q206" s="8">
        <f t="shared" si="8"/>
        <v>0</v>
      </c>
      <c r="R206" s="8"/>
      <c r="S206" s="8"/>
      <c r="T206" s="8">
        <f t="shared" si="11"/>
        <v>0</v>
      </c>
      <c r="U206" s="8"/>
      <c r="V206" s="8"/>
      <c r="W206" s="8">
        <f t="shared" si="14"/>
        <v>0</v>
      </c>
      <c r="X206" s="8"/>
      <c r="Y206" s="8"/>
      <c r="Z206" s="8">
        <f t="shared" si="16"/>
        <v>0</v>
      </c>
      <c r="AA206" s="8"/>
      <c r="AB206" s="8"/>
      <c r="AC206" s="8">
        <f t="shared" si="18"/>
        <v>0</v>
      </c>
      <c r="AD206" s="8"/>
      <c r="AE206" s="8">
        <f t="shared" si="33"/>
        <v>0</v>
      </c>
      <c r="AF206" s="9">
        <f t="shared" si="20"/>
        <v>0</v>
      </c>
    </row>
    <row r="207" spans="1:32" ht="12.6" customHeight="1" x14ac:dyDescent="0.3">
      <c r="A207" s="6"/>
      <c r="B207" s="7" t="s">
        <v>409</v>
      </c>
      <c r="C207" s="7" t="s">
        <v>410</v>
      </c>
      <c r="D207" s="8">
        <v>129.37</v>
      </c>
      <c r="E207" s="8">
        <f t="shared" si="26"/>
        <v>38.811</v>
      </c>
      <c r="F207" s="8">
        <f t="shared" si="1"/>
        <v>0</v>
      </c>
      <c r="G207" s="8"/>
      <c r="H207" s="8"/>
      <c r="I207" s="8"/>
      <c r="J207" s="8"/>
      <c r="K207" s="8">
        <f t="shared" si="4"/>
        <v>0</v>
      </c>
      <c r="L207" s="8"/>
      <c r="M207" s="8"/>
      <c r="N207" s="8">
        <f t="shared" si="6"/>
        <v>0</v>
      </c>
      <c r="O207" s="8"/>
      <c r="P207" s="8"/>
      <c r="Q207" s="8">
        <f t="shared" si="8"/>
        <v>0</v>
      </c>
      <c r="R207" s="8"/>
      <c r="S207" s="8"/>
      <c r="T207" s="8">
        <f t="shared" si="11"/>
        <v>0</v>
      </c>
      <c r="U207" s="8"/>
      <c r="V207" s="8"/>
      <c r="W207" s="8">
        <f t="shared" si="14"/>
        <v>0</v>
      </c>
      <c r="X207" s="8"/>
      <c r="Y207" s="8"/>
      <c r="Z207" s="8">
        <f t="shared" si="16"/>
        <v>0</v>
      </c>
      <c r="AA207" s="8"/>
      <c r="AB207" s="8"/>
      <c r="AC207" s="8">
        <f t="shared" si="18"/>
        <v>0</v>
      </c>
      <c r="AD207" s="8"/>
      <c r="AE207" s="8">
        <f t="shared" si="33"/>
        <v>0</v>
      </c>
      <c r="AF207" s="9">
        <f t="shared" si="20"/>
        <v>0</v>
      </c>
    </row>
    <row r="208" spans="1:32" ht="12.6" customHeight="1" x14ac:dyDescent="0.3">
      <c r="A208" s="1"/>
      <c r="B208" s="16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2.6" customHeight="1" x14ac:dyDescent="0.3">
      <c r="A209" s="1"/>
      <c r="B209" s="16"/>
      <c r="C209" s="17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2.6" customHeight="1" x14ac:dyDescent="0.3">
      <c r="A210" s="1"/>
      <c r="B210" s="16"/>
      <c r="C210" s="17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2.6" customHeight="1" x14ac:dyDescent="0.3">
      <c r="A211" s="1"/>
      <c r="B211" s="16"/>
      <c r="C211" s="17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2.6" customHeight="1" x14ac:dyDescent="0.3">
      <c r="A212" s="1"/>
      <c r="B212" s="16"/>
      <c r="C212" s="17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2.6" customHeight="1" x14ac:dyDescent="0.3">
      <c r="A213" s="1"/>
      <c r="B213" s="16"/>
      <c r="C213" s="17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2.6" customHeight="1" x14ac:dyDescent="0.3">
      <c r="A214" s="1"/>
      <c r="B214" s="16"/>
      <c r="C214" s="17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2.6" customHeight="1" x14ac:dyDescent="0.3">
      <c r="A215" s="1"/>
      <c r="B215" s="16"/>
      <c r="C215" s="17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2.6" customHeight="1" x14ac:dyDescent="0.3">
      <c r="A216" s="1"/>
      <c r="B216" s="16"/>
      <c r="C216" s="17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2.6" customHeight="1" x14ac:dyDescent="0.3">
      <c r="A217" s="1"/>
      <c r="B217" s="16"/>
      <c r="C217" s="17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6" customHeight="1" x14ac:dyDescent="0.3">
      <c r="A218" s="1"/>
      <c r="B218" s="16"/>
      <c r="C218" s="17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2.6" customHeight="1" x14ac:dyDescent="0.3">
      <c r="A219" s="1"/>
      <c r="B219" s="16"/>
      <c r="C219" s="17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2.6" customHeight="1" x14ac:dyDescent="0.3">
      <c r="A220" s="1"/>
      <c r="B220" s="16"/>
      <c r="C220" s="17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2.6" customHeight="1" x14ac:dyDescent="0.3">
      <c r="A221" s="1"/>
      <c r="B221" s="16"/>
      <c r="C221" s="17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2.6" customHeight="1" x14ac:dyDescent="0.3">
      <c r="A222" s="1"/>
      <c r="B222" s="16"/>
      <c r="C222" s="17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6" customHeight="1" x14ac:dyDescent="0.3">
      <c r="A223" s="1"/>
      <c r="B223" s="16"/>
      <c r="C223" s="17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6" customHeight="1" x14ac:dyDescent="0.3">
      <c r="A224" s="1"/>
      <c r="B224" s="16"/>
      <c r="C224" s="17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6" customHeight="1" x14ac:dyDescent="0.3">
      <c r="A225" s="1"/>
      <c r="B225" s="16"/>
      <c r="C225" s="17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6" customHeight="1" x14ac:dyDescent="0.3">
      <c r="A226" s="1"/>
      <c r="B226" s="16"/>
      <c r="C226" s="17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6" customHeight="1" x14ac:dyDescent="0.3">
      <c r="A227" s="1"/>
      <c r="B227" s="16"/>
      <c r="C227" s="17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6" customHeight="1" x14ac:dyDescent="0.3">
      <c r="A228" s="1"/>
      <c r="B228" s="16"/>
      <c r="C228" s="17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6" customHeight="1" x14ac:dyDescent="0.3">
      <c r="A229" s="1"/>
      <c r="B229" s="16"/>
      <c r="C229" s="17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6" customHeight="1" x14ac:dyDescent="0.3">
      <c r="A230" s="1"/>
      <c r="B230" s="16"/>
      <c r="C230" s="17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6" customHeight="1" x14ac:dyDescent="0.3">
      <c r="A231" s="1"/>
      <c r="B231" s="16"/>
      <c r="C231" s="17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6" customHeight="1" x14ac:dyDescent="0.3">
      <c r="A232" s="1"/>
      <c r="B232" s="16"/>
      <c r="C232" s="17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6" customHeight="1" x14ac:dyDescent="0.3">
      <c r="A233" s="1"/>
      <c r="B233" s="16"/>
      <c r="C233" s="17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6" customHeight="1" x14ac:dyDescent="0.3">
      <c r="A234" s="1"/>
      <c r="B234" s="16"/>
      <c r="C234" s="17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6" customHeight="1" x14ac:dyDescent="0.3">
      <c r="A235" s="1"/>
      <c r="B235" s="16"/>
      <c r="C235" s="17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6" customHeight="1" x14ac:dyDescent="0.3">
      <c r="A236" s="1"/>
      <c r="B236" s="16"/>
      <c r="C236" s="17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6" customHeight="1" x14ac:dyDescent="0.3">
      <c r="A237" s="1"/>
      <c r="B237" s="16"/>
      <c r="C237" s="17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6" customHeight="1" x14ac:dyDescent="0.3">
      <c r="A238" s="1"/>
      <c r="B238" s="16"/>
      <c r="C238" s="17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6" customHeight="1" x14ac:dyDescent="0.3">
      <c r="A239" s="1"/>
      <c r="B239" s="16"/>
      <c r="C239" s="17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6" customHeight="1" x14ac:dyDescent="0.3">
      <c r="A240" s="1"/>
      <c r="B240" s="16"/>
      <c r="C240" s="17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6" customHeight="1" x14ac:dyDescent="0.3">
      <c r="A241" s="1"/>
      <c r="B241" s="16"/>
      <c r="C241" s="17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6" customHeight="1" x14ac:dyDescent="0.3">
      <c r="A242" s="1"/>
      <c r="B242" s="16"/>
      <c r="C242" s="17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6" customHeight="1" x14ac:dyDescent="0.3">
      <c r="A243" s="1"/>
      <c r="B243" s="16"/>
      <c r="C243" s="17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6" customHeight="1" x14ac:dyDescent="0.3">
      <c r="A244" s="1"/>
      <c r="B244" s="16"/>
      <c r="C244" s="17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6" customHeight="1" x14ac:dyDescent="0.3">
      <c r="A245" s="1"/>
      <c r="B245" s="16"/>
      <c r="C245" s="17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6" customHeight="1" x14ac:dyDescent="0.3">
      <c r="A246" s="1"/>
      <c r="B246" s="16"/>
      <c r="C246" s="17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6" customHeight="1" x14ac:dyDescent="0.3">
      <c r="A247" s="1"/>
      <c r="B247" s="16"/>
      <c r="C247" s="17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6" customHeight="1" x14ac:dyDescent="0.3">
      <c r="A248" s="1"/>
      <c r="B248" s="16"/>
      <c r="C248" s="17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6" customHeight="1" x14ac:dyDescent="0.3">
      <c r="A249" s="1"/>
      <c r="B249" s="16"/>
      <c r="C249" s="17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6" customHeight="1" x14ac:dyDescent="0.3">
      <c r="A250" s="1"/>
      <c r="B250" s="16"/>
      <c r="C250" s="17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6" customHeight="1" x14ac:dyDescent="0.3">
      <c r="A251" s="1"/>
      <c r="B251" s="16"/>
      <c r="C251" s="17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6" customHeight="1" x14ac:dyDescent="0.3">
      <c r="A252" s="1"/>
      <c r="B252" s="16"/>
      <c r="C252" s="17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6" customHeight="1" x14ac:dyDescent="0.3">
      <c r="A253" s="1"/>
      <c r="B253" s="16"/>
      <c r="C253" s="17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6" customHeight="1" x14ac:dyDescent="0.3">
      <c r="A254" s="1"/>
      <c r="B254" s="16"/>
      <c r="C254" s="17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6" customHeight="1" x14ac:dyDescent="0.3">
      <c r="A255" s="1"/>
      <c r="B255" s="16"/>
      <c r="C255" s="17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6" customHeight="1" x14ac:dyDescent="0.3">
      <c r="A256" s="1"/>
      <c r="B256" s="16"/>
      <c r="C256" s="17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6" customHeight="1" x14ac:dyDescent="0.3">
      <c r="A257" s="1"/>
      <c r="B257" s="16"/>
      <c r="C257" s="17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6" customHeight="1" x14ac:dyDescent="0.3">
      <c r="A258" s="1"/>
      <c r="B258" s="16"/>
      <c r="C258" s="17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6" customHeight="1" x14ac:dyDescent="0.3">
      <c r="A259" s="1"/>
      <c r="B259" s="16"/>
      <c r="C259" s="17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6" customHeight="1" x14ac:dyDescent="0.3">
      <c r="A260" s="1"/>
      <c r="B260" s="16"/>
      <c r="C260" s="17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6" customHeight="1" x14ac:dyDescent="0.3">
      <c r="A261" s="1"/>
      <c r="B261" s="16"/>
      <c r="C261" s="17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2.6" customHeight="1" x14ac:dyDescent="0.3">
      <c r="A262" s="1"/>
      <c r="B262" s="16"/>
      <c r="C262" s="17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2.6" customHeight="1" x14ac:dyDescent="0.3">
      <c r="A263" s="1"/>
      <c r="B263" s="16"/>
      <c r="C263" s="17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2.6" customHeight="1" x14ac:dyDescent="0.3">
      <c r="A264" s="1"/>
      <c r="B264" s="16"/>
      <c r="C264" s="17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2.6" customHeight="1" x14ac:dyDescent="0.3">
      <c r="A265" s="1"/>
      <c r="B265" s="16"/>
      <c r="C265" s="17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2.6" customHeight="1" x14ac:dyDescent="0.3">
      <c r="A266" s="1"/>
      <c r="B266" s="16"/>
      <c r="C266" s="17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2.6" customHeight="1" x14ac:dyDescent="0.3">
      <c r="A267" s="1"/>
      <c r="B267" s="16"/>
      <c r="C267" s="17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2.6" customHeight="1" x14ac:dyDescent="0.3">
      <c r="A268" s="1"/>
      <c r="B268" s="16"/>
      <c r="C268" s="17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2.6" customHeight="1" x14ac:dyDescent="0.3">
      <c r="A269" s="1"/>
      <c r="B269" s="16"/>
      <c r="C269" s="17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2.6" customHeight="1" x14ac:dyDescent="0.3">
      <c r="A270" s="1"/>
      <c r="B270" s="16"/>
      <c r="C270" s="17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2.6" customHeight="1" x14ac:dyDescent="0.3">
      <c r="A271" s="1"/>
      <c r="B271" s="16"/>
      <c r="C271" s="17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6" customHeight="1" x14ac:dyDescent="0.3">
      <c r="A272" s="1"/>
      <c r="B272" s="16"/>
      <c r="C272" s="17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6" customHeight="1" x14ac:dyDescent="0.3">
      <c r="A273" s="1"/>
      <c r="B273" s="16"/>
      <c r="C273" s="17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6" customHeight="1" x14ac:dyDescent="0.3">
      <c r="A274" s="1"/>
      <c r="B274" s="16"/>
      <c r="C274" s="17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6" customHeight="1" x14ac:dyDescent="0.3">
      <c r="A275" s="1"/>
      <c r="B275" s="16"/>
      <c r="C275" s="17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6" customHeight="1" x14ac:dyDescent="0.3">
      <c r="A276" s="1"/>
      <c r="B276" s="16"/>
      <c r="C276" s="17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6" customHeight="1" x14ac:dyDescent="0.3">
      <c r="A277" s="1"/>
      <c r="B277" s="16"/>
      <c r="C277" s="17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6" customHeight="1" x14ac:dyDescent="0.3">
      <c r="A278" s="1"/>
      <c r="B278" s="16"/>
      <c r="C278" s="17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6" customHeight="1" x14ac:dyDescent="0.3">
      <c r="A279" s="1"/>
      <c r="B279" s="16"/>
      <c r="C279" s="17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6" customHeight="1" x14ac:dyDescent="0.3">
      <c r="A280" s="1"/>
      <c r="B280" s="16"/>
      <c r="C280" s="17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6" customHeight="1" x14ac:dyDescent="0.3">
      <c r="A281" s="1"/>
      <c r="B281" s="16"/>
      <c r="C281" s="17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6" customHeight="1" x14ac:dyDescent="0.3">
      <c r="A282" s="1"/>
      <c r="B282" s="16"/>
      <c r="C282" s="17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6" customHeight="1" x14ac:dyDescent="0.3">
      <c r="A283" s="1"/>
      <c r="B283" s="16"/>
      <c r="C283" s="17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6" customHeight="1" x14ac:dyDescent="0.3">
      <c r="A284" s="1"/>
      <c r="B284" s="16"/>
      <c r="C284" s="17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6" customHeight="1" x14ac:dyDescent="0.3">
      <c r="A285" s="1"/>
      <c r="B285" s="16"/>
      <c r="C285" s="17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6" customHeight="1" x14ac:dyDescent="0.3">
      <c r="A286" s="1"/>
      <c r="B286" s="16"/>
      <c r="C286" s="17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6" customHeight="1" x14ac:dyDescent="0.3">
      <c r="A287" s="1"/>
      <c r="B287" s="16"/>
      <c r="C287" s="17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6" customHeight="1" x14ac:dyDescent="0.3">
      <c r="A288" s="1"/>
      <c r="B288" s="16"/>
      <c r="C288" s="17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6" customHeight="1" x14ac:dyDescent="0.3">
      <c r="A289" s="1"/>
      <c r="B289" s="16"/>
      <c r="C289" s="17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6" customHeight="1" x14ac:dyDescent="0.3">
      <c r="A290" s="1"/>
      <c r="B290" s="16"/>
      <c r="C290" s="17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6" customHeight="1" x14ac:dyDescent="0.3">
      <c r="A291" s="1"/>
      <c r="B291" s="16"/>
      <c r="C291" s="17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6" customHeight="1" x14ac:dyDescent="0.3">
      <c r="A292" s="1"/>
      <c r="B292" s="16"/>
      <c r="C292" s="17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6" customHeight="1" x14ac:dyDescent="0.3">
      <c r="A293" s="1"/>
      <c r="B293" s="16"/>
      <c r="C293" s="17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6" customHeight="1" x14ac:dyDescent="0.3">
      <c r="A294" s="1"/>
      <c r="B294" s="16"/>
      <c r="C294" s="17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6" customHeight="1" x14ac:dyDescent="0.3">
      <c r="A295" s="1"/>
      <c r="B295" s="16"/>
      <c r="C295" s="17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6" customHeight="1" x14ac:dyDescent="0.3">
      <c r="A296" s="1"/>
      <c r="B296" s="16"/>
      <c r="C296" s="17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6" customHeight="1" x14ac:dyDescent="0.3">
      <c r="A297" s="1"/>
      <c r="B297" s="16"/>
      <c r="C297" s="17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6" customHeight="1" x14ac:dyDescent="0.3">
      <c r="A298" s="1"/>
      <c r="B298" s="16"/>
      <c r="C298" s="17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6" customHeight="1" x14ac:dyDescent="0.3">
      <c r="A299" s="1"/>
      <c r="B299" s="16"/>
      <c r="C299" s="17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6" customHeight="1" x14ac:dyDescent="0.3">
      <c r="A300" s="1"/>
      <c r="B300" s="16"/>
      <c r="C300" s="17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6" customHeight="1" x14ac:dyDescent="0.3">
      <c r="A301" s="1"/>
      <c r="B301" s="16"/>
      <c r="C301" s="17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6" customHeight="1" x14ac:dyDescent="0.3">
      <c r="A302" s="1"/>
      <c r="B302" s="16"/>
      <c r="C302" s="17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6" customHeight="1" x14ac:dyDescent="0.3">
      <c r="A303" s="1"/>
      <c r="B303" s="16"/>
      <c r="C303" s="17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6" customHeight="1" x14ac:dyDescent="0.3">
      <c r="A304" s="1"/>
      <c r="B304" s="16"/>
      <c r="C304" s="17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6" customHeight="1" x14ac:dyDescent="0.3">
      <c r="A305" s="1"/>
      <c r="B305" s="16"/>
      <c r="C305" s="17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6" customHeight="1" x14ac:dyDescent="0.3">
      <c r="A306" s="1"/>
      <c r="B306" s="16"/>
      <c r="C306" s="17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6" customHeight="1" x14ac:dyDescent="0.3">
      <c r="A307" s="1"/>
      <c r="B307" s="16"/>
      <c r="C307" s="17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6" customHeight="1" x14ac:dyDescent="0.3">
      <c r="A308" s="1"/>
      <c r="B308" s="16"/>
      <c r="C308" s="17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6" customHeight="1" x14ac:dyDescent="0.3">
      <c r="A309" s="1"/>
      <c r="B309" s="16"/>
      <c r="C309" s="17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6" customHeight="1" x14ac:dyDescent="0.3">
      <c r="A310" s="1"/>
      <c r="B310" s="16"/>
      <c r="C310" s="17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6" customHeight="1" x14ac:dyDescent="0.3">
      <c r="A311" s="1"/>
      <c r="B311" s="16"/>
      <c r="C311" s="17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6" customHeight="1" x14ac:dyDescent="0.3">
      <c r="A312" s="1"/>
      <c r="B312" s="16"/>
      <c r="C312" s="17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6" customHeight="1" x14ac:dyDescent="0.3">
      <c r="A313" s="1"/>
      <c r="B313" s="16"/>
      <c r="C313" s="17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6" customHeight="1" x14ac:dyDescent="0.3">
      <c r="A314" s="1"/>
      <c r="B314" s="16"/>
      <c r="C314" s="17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6" customHeight="1" x14ac:dyDescent="0.3">
      <c r="A315" s="1"/>
      <c r="B315" s="16"/>
      <c r="C315" s="17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6" customHeight="1" x14ac:dyDescent="0.3">
      <c r="A316" s="1"/>
      <c r="B316" s="16"/>
      <c r="C316" s="17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6" customHeight="1" x14ac:dyDescent="0.3">
      <c r="A317" s="1"/>
      <c r="B317" s="16"/>
      <c r="C317" s="17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6" customHeight="1" x14ac:dyDescent="0.3">
      <c r="A318" s="1"/>
      <c r="B318" s="16"/>
      <c r="C318" s="17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6" customHeight="1" x14ac:dyDescent="0.3">
      <c r="A319" s="1"/>
      <c r="B319" s="16"/>
      <c r="C319" s="17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6" customHeight="1" x14ac:dyDescent="0.3">
      <c r="A320" s="1"/>
      <c r="B320" s="16"/>
      <c r="C320" s="17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6" customHeight="1" x14ac:dyDescent="0.3">
      <c r="A321" s="1"/>
      <c r="B321" s="16"/>
      <c r="C321" s="17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6" customHeight="1" x14ac:dyDescent="0.3">
      <c r="A322" s="1"/>
      <c r="B322" s="16"/>
      <c r="C322" s="17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6" customHeight="1" x14ac:dyDescent="0.3">
      <c r="A323" s="1"/>
      <c r="B323" s="16"/>
      <c r="C323" s="17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6" customHeight="1" x14ac:dyDescent="0.3">
      <c r="A324" s="1"/>
      <c r="B324" s="16"/>
      <c r="C324" s="17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6" customHeight="1" x14ac:dyDescent="0.3">
      <c r="A325" s="1"/>
      <c r="B325" s="16"/>
      <c r="C325" s="17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6" customHeight="1" x14ac:dyDescent="0.3">
      <c r="A326" s="1"/>
      <c r="B326" s="16"/>
      <c r="C326" s="17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6" customHeight="1" x14ac:dyDescent="0.3">
      <c r="A327" s="1"/>
      <c r="B327" s="16"/>
      <c r="C327" s="17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6" customHeight="1" x14ac:dyDescent="0.3">
      <c r="A328" s="1"/>
      <c r="B328" s="16"/>
      <c r="C328" s="17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6" customHeight="1" x14ac:dyDescent="0.3">
      <c r="A329" s="1"/>
      <c r="B329" s="16"/>
      <c r="C329" s="17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6" customHeight="1" x14ac:dyDescent="0.3">
      <c r="A330" s="1"/>
      <c r="B330" s="16"/>
      <c r="C330" s="17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6" customHeight="1" x14ac:dyDescent="0.3">
      <c r="A331" s="1"/>
      <c r="B331" s="16"/>
      <c r="C331" s="17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2.6" customHeight="1" x14ac:dyDescent="0.3">
      <c r="A332" s="1"/>
      <c r="B332" s="16"/>
      <c r="C332" s="17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2.6" customHeight="1" x14ac:dyDescent="0.3">
      <c r="A333" s="1"/>
      <c r="B333" s="16"/>
      <c r="C333" s="17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2.6" customHeight="1" x14ac:dyDescent="0.3">
      <c r="A334" s="1"/>
      <c r="B334" s="16"/>
      <c r="C334" s="17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2.6" customHeight="1" x14ac:dyDescent="0.3">
      <c r="A335" s="1"/>
      <c r="B335" s="16"/>
      <c r="C335" s="17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2.6" customHeight="1" x14ac:dyDescent="0.3">
      <c r="A336" s="1"/>
      <c r="B336" s="16"/>
      <c r="C336" s="17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2.6" customHeight="1" x14ac:dyDescent="0.3">
      <c r="A337" s="1"/>
      <c r="B337" s="16"/>
      <c r="C337" s="17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2.6" customHeight="1" x14ac:dyDescent="0.3">
      <c r="A338" s="1"/>
      <c r="B338" s="16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2.6" customHeight="1" x14ac:dyDescent="0.3">
      <c r="A339" s="1"/>
      <c r="B339" s="16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2.6" customHeight="1" x14ac:dyDescent="0.3">
      <c r="A340" s="1"/>
      <c r="B340" s="16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2.6" customHeight="1" x14ac:dyDescent="0.3">
      <c r="A341" s="1"/>
      <c r="B341" s="16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2.6" customHeight="1" x14ac:dyDescent="0.3">
      <c r="A342" s="1"/>
      <c r="B342" s="16"/>
      <c r="C342" s="17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2.6" customHeight="1" x14ac:dyDescent="0.3">
      <c r="A343" s="1"/>
      <c r="B343" s="16"/>
      <c r="C343" s="17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2.6" customHeight="1" x14ac:dyDescent="0.3">
      <c r="A344" s="1"/>
      <c r="B344" s="16"/>
      <c r="C344" s="17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2.6" customHeight="1" x14ac:dyDescent="0.3">
      <c r="A345" s="1"/>
      <c r="B345" s="16"/>
      <c r="C345" s="17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2.6" customHeight="1" x14ac:dyDescent="0.3">
      <c r="A346" s="1"/>
      <c r="B346" s="16"/>
      <c r="C346" s="17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2.6" customHeight="1" x14ac:dyDescent="0.3">
      <c r="A347" s="1"/>
      <c r="B347" s="16"/>
      <c r="C347" s="17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2.6" customHeight="1" x14ac:dyDescent="0.3">
      <c r="A348" s="1"/>
      <c r="B348" s="16"/>
      <c r="C348" s="17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2.6" customHeight="1" x14ac:dyDescent="0.3">
      <c r="A349" s="1"/>
      <c r="B349" s="16"/>
      <c r="C349" s="17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2.6" customHeight="1" x14ac:dyDescent="0.3">
      <c r="A350" s="1"/>
      <c r="B350" s="16"/>
      <c r="C350" s="17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2.6" customHeight="1" x14ac:dyDescent="0.3">
      <c r="A351" s="1"/>
      <c r="B351" s="16"/>
      <c r="C351" s="17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2.6" customHeight="1" x14ac:dyDescent="0.3">
      <c r="A352" s="1"/>
      <c r="B352" s="16"/>
      <c r="C352" s="17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2.6" customHeight="1" x14ac:dyDescent="0.3">
      <c r="A353" s="1"/>
      <c r="B353" s="16"/>
      <c r="C353" s="17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2.6" customHeight="1" x14ac:dyDescent="0.3">
      <c r="A354" s="1"/>
      <c r="B354" s="16"/>
      <c r="C354" s="17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2.6" customHeight="1" x14ac:dyDescent="0.3">
      <c r="A355" s="1"/>
      <c r="B355" s="16"/>
      <c r="C355" s="17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2.6" customHeight="1" x14ac:dyDescent="0.3">
      <c r="A356" s="1"/>
      <c r="B356" s="16"/>
      <c r="C356" s="17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2.6" customHeight="1" x14ac:dyDescent="0.3">
      <c r="A357" s="1"/>
      <c r="B357" s="16"/>
      <c r="C357" s="17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2.6" customHeight="1" x14ac:dyDescent="0.3">
      <c r="A358" s="1"/>
      <c r="B358" s="16"/>
      <c r="C358" s="17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2.6" customHeight="1" x14ac:dyDescent="0.3">
      <c r="A359" s="1"/>
      <c r="B359" s="16"/>
      <c r="C359" s="17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2.6" customHeight="1" x14ac:dyDescent="0.3">
      <c r="A360" s="1"/>
      <c r="B360" s="16"/>
      <c r="C360" s="17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2.6" customHeight="1" x14ac:dyDescent="0.3">
      <c r="A361" s="1"/>
      <c r="B361" s="16"/>
      <c r="C361" s="17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2.6" customHeight="1" x14ac:dyDescent="0.3">
      <c r="A362" s="1"/>
      <c r="B362" s="16"/>
      <c r="C362" s="17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2.6" customHeight="1" x14ac:dyDescent="0.3">
      <c r="A363" s="1"/>
      <c r="B363" s="16"/>
      <c r="C363" s="17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2.6" customHeight="1" x14ac:dyDescent="0.3">
      <c r="A364" s="1"/>
      <c r="B364" s="16"/>
      <c r="C364" s="17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2.6" customHeight="1" x14ac:dyDescent="0.3">
      <c r="A365" s="1"/>
      <c r="B365" s="16"/>
      <c r="C365" s="17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2.6" customHeight="1" x14ac:dyDescent="0.3">
      <c r="A366" s="1"/>
      <c r="B366" s="16"/>
      <c r="C366" s="17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2.6" customHeight="1" x14ac:dyDescent="0.3">
      <c r="A367" s="1"/>
      <c r="B367" s="16"/>
      <c r="C367" s="17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2.6" customHeight="1" x14ac:dyDescent="0.3">
      <c r="A368" s="1"/>
      <c r="B368" s="16"/>
      <c r="C368" s="17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2.6" customHeight="1" x14ac:dyDescent="0.3">
      <c r="A369" s="1"/>
      <c r="B369" s="16"/>
      <c r="C369" s="17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2.6" customHeight="1" x14ac:dyDescent="0.3">
      <c r="A370" s="1"/>
      <c r="B370" s="16"/>
      <c r="C370" s="17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2.6" customHeight="1" x14ac:dyDescent="0.3">
      <c r="A371" s="1"/>
      <c r="B371" s="16"/>
      <c r="C371" s="17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2.6" customHeight="1" x14ac:dyDescent="0.3">
      <c r="A372" s="1"/>
      <c r="B372" s="16"/>
      <c r="C372" s="17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2.6" customHeight="1" x14ac:dyDescent="0.3">
      <c r="A373" s="1"/>
      <c r="B373" s="16"/>
      <c r="C373" s="17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2.6" customHeight="1" x14ac:dyDescent="0.3">
      <c r="A374" s="1"/>
      <c r="B374" s="16"/>
      <c r="C374" s="17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2.6" customHeight="1" x14ac:dyDescent="0.3">
      <c r="A375" s="1"/>
      <c r="B375" s="16"/>
      <c r="C375" s="17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2.6" customHeight="1" x14ac:dyDescent="0.3">
      <c r="A376" s="1"/>
      <c r="B376" s="16"/>
      <c r="C376" s="17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2.6" customHeight="1" x14ac:dyDescent="0.3">
      <c r="A377" s="1"/>
      <c r="B377" s="16"/>
      <c r="C377" s="17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2.6" customHeight="1" x14ac:dyDescent="0.3">
      <c r="A378" s="1"/>
      <c r="B378" s="16"/>
      <c r="C378" s="17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2.6" customHeight="1" x14ac:dyDescent="0.3">
      <c r="A379" s="1"/>
      <c r="B379" s="16"/>
      <c r="C379" s="17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2.6" customHeight="1" x14ac:dyDescent="0.3">
      <c r="A380" s="1"/>
      <c r="B380" s="16"/>
      <c r="C380" s="17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2.6" customHeight="1" x14ac:dyDescent="0.3">
      <c r="A381" s="1"/>
      <c r="B381" s="16"/>
      <c r="C381" s="17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2.6" customHeight="1" x14ac:dyDescent="0.3">
      <c r="A382" s="1"/>
      <c r="B382" s="16"/>
      <c r="C382" s="17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2.6" customHeight="1" x14ac:dyDescent="0.3">
      <c r="A383" s="1"/>
      <c r="B383" s="16"/>
      <c r="C383" s="17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2.6" customHeight="1" x14ac:dyDescent="0.3">
      <c r="A384" s="1"/>
      <c r="B384" s="16"/>
      <c r="C384" s="17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2.6" customHeight="1" x14ac:dyDescent="0.3">
      <c r="A385" s="1"/>
      <c r="B385" s="16"/>
      <c r="C385" s="17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2.6" customHeight="1" x14ac:dyDescent="0.3">
      <c r="A386" s="1"/>
      <c r="B386" s="16"/>
      <c r="C386" s="17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2.6" customHeight="1" x14ac:dyDescent="0.3">
      <c r="A387" s="1"/>
      <c r="B387" s="16"/>
      <c r="C387" s="17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2.6" customHeight="1" x14ac:dyDescent="0.3">
      <c r="A388" s="1"/>
      <c r="B388" s="16"/>
      <c r="C388" s="17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2.6" customHeight="1" x14ac:dyDescent="0.3">
      <c r="A389" s="1"/>
      <c r="B389" s="16"/>
      <c r="C389" s="17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2.6" customHeight="1" x14ac:dyDescent="0.3">
      <c r="A390" s="1"/>
      <c r="B390" s="16"/>
      <c r="C390" s="17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2.6" customHeight="1" x14ac:dyDescent="0.3">
      <c r="A391" s="1"/>
      <c r="B391" s="16"/>
      <c r="C391" s="17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2.6" customHeight="1" x14ac:dyDescent="0.3">
      <c r="A392" s="1"/>
      <c r="B392" s="16"/>
      <c r="C392" s="17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2.6" customHeight="1" x14ac:dyDescent="0.3">
      <c r="A393" s="1"/>
      <c r="B393" s="16"/>
      <c r="C393" s="17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2.6" customHeight="1" x14ac:dyDescent="0.3">
      <c r="A394" s="1"/>
      <c r="B394" s="16"/>
      <c r="C394" s="17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2.6" customHeight="1" x14ac:dyDescent="0.3">
      <c r="A395" s="1"/>
      <c r="B395" s="16"/>
      <c r="C395" s="17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2.6" customHeight="1" x14ac:dyDescent="0.3">
      <c r="A396" s="1"/>
      <c r="B396" s="16"/>
      <c r="C396" s="17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2.6" customHeight="1" x14ac:dyDescent="0.3">
      <c r="A397" s="1"/>
      <c r="B397" s="16"/>
      <c r="C397" s="17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2.6" customHeight="1" x14ac:dyDescent="0.3">
      <c r="A398" s="1"/>
      <c r="B398" s="16"/>
      <c r="C398" s="17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2.6" customHeight="1" x14ac:dyDescent="0.3">
      <c r="A399" s="1"/>
      <c r="B399" s="16"/>
      <c r="C399" s="17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2.6" customHeight="1" x14ac:dyDescent="0.3">
      <c r="A400" s="1"/>
      <c r="B400" s="16"/>
      <c r="C400" s="17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2.6" customHeight="1" x14ac:dyDescent="0.3">
      <c r="A401" s="1"/>
      <c r="B401" s="16"/>
      <c r="C401" s="17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2.6" customHeight="1" x14ac:dyDescent="0.3">
      <c r="A402" s="1"/>
      <c r="B402" s="16"/>
      <c r="C402" s="17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2.6" customHeight="1" x14ac:dyDescent="0.3">
      <c r="A403" s="1"/>
      <c r="B403" s="16"/>
      <c r="C403" s="17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2.6" customHeight="1" x14ac:dyDescent="0.3">
      <c r="A404" s="1"/>
      <c r="B404" s="16"/>
      <c r="C404" s="17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2.6" customHeight="1" x14ac:dyDescent="0.3">
      <c r="A405" s="1"/>
      <c r="B405" s="16"/>
      <c r="C405" s="17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2.6" customHeight="1" x14ac:dyDescent="0.3">
      <c r="A406" s="1"/>
      <c r="B406" s="16"/>
      <c r="C406" s="17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2.6" customHeight="1" x14ac:dyDescent="0.3">
      <c r="A407" s="1"/>
      <c r="B407" s="16"/>
      <c r="C407" s="17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2.6" customHeight="1" x14ac:dyDescent="0.3">
      <c r="A408" s="1"/>
      <c r="B408" s="16"/>
      <c r="C408" s="17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2.6" customHeight="1" x14ac:dyDescent="0.3">
      <c r="A409" s="1"/>
      <c r="B409" s="16"/>
      <c r="C409" s="17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2.6" customHeight="1" x14ac:dyDescent="0.3">
      <c r="A410" s="1"/>
      <c r="B410" s="16"/>
      <c r="C410" s="17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2.6" customHeight="1" x14ac:dyDescent="0.3">
      <c r="A411" s="1"/>
      <c r="B411" s="16"/>
      <c r="C411" s="17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2.6" customHeight="1" x14ac:dyDescent="0.3">
      <c r="A412" s="1"/>
      <c r="B412" s="16"/>
      <c r="C412" s="17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2.6" customHeight="1" x14ac:dyDescent="0.3">
      <c r="A413" s="1"/>
      <c r="B413" s="16"/>
      <c r="C413" s="17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2.6" customHeight="1" x14ac:dyDescent="0.3">
      <c r="A414" s="1"/>
      <c r="B414" s="16"/>
      <c r="C414" s="17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2.6" customHeight="1" x14ac:dyDescent="0.3">
      <c r="A415" s="1"/>
      <c r="B415" s="16"/>
      <c r="C415" s="17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2.6" customHeight="1" x14ac:dyDescent="0.3">
      <c r="A416" s="1"/>
      <c r="B416" s="16"/>
      <c r="C416" s="17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2.6" customHeight="1" x14ac:dyDescent="0.3">
      <c r="A417" s="1"/>
      <c r="B417" s="16"/>
      <c r="C417" s="17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2.6" customHeight="1" x14ac:dyDescent="0.3">
      <c r="A418" s="1"/>
      <c r="B418" s="16"/>
      <c r="C418" s="17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2.6" customHeight="1" x14ac:dyDescent="0.3">
      <c r="A419" s="1"/>
      <c r="B419" s="16"/>
      <c r="C419" s="17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2.6" customHeight="1" x14ac:dyDescent="0.3">
      <c r="A420" s="1"/>
      <c r="B420" s="16"/>
      <c r="C420" s="17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2.6" customHeight="1" x14ac:dyDescent="0.3">
      <c r="A421" s="1"/>
      <c r="B421" s="16"/>
      <c r="C421" s="17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2.6" customHeight="1" x14ac:dyDescent="0.3">
      <c r="A422" s="1"/>
      <c r="B422" s="16"/>
      <c r="C422" s="17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2.6" customHeight="1" x14ac:dyDescent="0.3">
      <c r="A423" s="1"/>
      <c r="B423" s="16"/>
      <c r="C423" s="17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2.6" customHeight="1" x14ac:dyDescent="0.3">
      <c r="A424" s="1"/>
      <c r="B424" s="16"/>
      <c r="C424" s="17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2.6" customHeight="1" x14ac:dyDescent="0.3">
      <c r="A425" s="1"/>
      <c r="B425" s="16"/>
      <c r="C425" s="17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2.6" customHeight="1" x14ac:dyDescent="0.3">
      <c r="A426" s="1"/>
      <c r="B426" s="16"/>
      <c r="C426" s="17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2.6" customHeight="1" x14ac:dyDescent="0.3">
      <c r="A427" s="1"/>
      <c r="B427" s="16"/>
      <c r="C427" s="17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6" customHeight="1" x14ac:dyDescent="0.3">
      <c r="A428" s="1"/>
      <c r="B428" s="16"/>
      <c r="C428" s="17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2.6" customHeight="1" x14ac:dyDescent="0.3">
      <c r="A429" s="1"/>
      <c r="B429" s="16"/>
      <c r="C429" s="17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2.6" customHeight="1" x14ac:dyDescent="0.3">
      <c r="A430" s="1"/>
      <c r="B430" s="16"/>
      <c r="C430" s="17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2.6" customHeight="1" x14ac:dyDescent="0.3">
      <c r="A431" s="1"/>
      <c r="B431" s="16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2.6" customHeight="1" x14ac:dyDescent="0.3">
      <c r="A432" s="1"/>
      <c r="B432" s="16"/>
      <c r="C432" s="17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2.6" customHeight="1" x14ac:dyDescent="0.3">
      <c r="A433" s="1"/>
      <c r="B433" s="16"/>
      <c r="C433" s="17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2.6" customHeight="1" x14ac:dyDescent="0.3">
      <c r="A434" s="1"/>
      <c r="B434" s="16"/>
      <c r="C434" s="17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2.6" customHeight="1" x14ac:dyDescent="0.3">
      <c r="A435" s="1"/>
      <c r="B435" s="16"/>
      <c r="C435" s="17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2.6" customHeight="1" x14ac:dyDescent="0.3">
      <c r="A436" s="1"/>
      <c r="B436" s="16"/>
      <c r="C436" s="17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2.6" customHeight="1" x14ac:dyDescent="0.3">
      <c r="A437" s="1"/>
      <c r="B437" s="16"/>
      <c r="C437" s="17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2.6" customHeight="1" x14ac:dyDescent="0.3">
      <c r="A438" s="1"/>
      <c r="B438" s="16"/>
      <c r="C438" s="17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2.6" customHeight="1" x14ac:dyDescent="0.3">
      <c r="A439" s="1"/>
      <c r="B439" s="16"/>
      <c r="C439" s="17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2.6" customHeight="1" x14ac:dyDescent="0.3">
      <c r="A440" s="1"/>
      <c r="B440" s="16"/>
      <c r="C440" s="17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2.6" customHeight="1" x14ac:dyDescent="0.3">
      <c r="A441" s="1"/>
      <c r="B441" s="16"/>
      <c r="C441" s="17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2.6" customHeight="1" x14ac:dyDescent="0.3">
      <c r="A442" s="1"/>
      <c r="B442" s="16"/>
      <c r="C442" s="17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2.6" customHeight="1" x14ac:dyDescent="0.3">
      <c r="A443" s="1"/>
      <c r="B443" s="16"/>
      <c r="C443" s="17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2.6" customHeight="1" x14ac:dyDescent="0.3">
      <c r="A444" s="1"/>
      <c r="B444" s="16"/>
      <c r="C444" s="17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2.6" customHeight="1" x14ac:dyDescent="0.3">
      <c r="A445" s="1"/>
      <c r="B445" s="16"/>
      <c r="C445" s="17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2.6" customHeight="1" x14ac:dyDescent="0.3">
      <c r="A446" s="1"/>
      <c r="B446" s="16"/>
      <c r="C446" s="17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2.6" customHeight="1" x14ac:dyDescent="0.3">
      <c r="A447" s="1"/>
      <c r="B447" s="16"/>
      <c r="C447" s="17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2.6" customHeight="1" x14ac:dyDescent="0.3">
      <c r="A448" s="1"/>
      <c r="B448" s="16"/>
      <c r="C448" s="17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2.6" customHeight="1" x14ac:dyDescent="0.3">
      <c r="A449" s="1"/>
      <c r="B449" s="16"/>
      <c r="C449" s="17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2.6" customHeight="1" x14ac:dyDescent="0.3">
      <c r="A450" s="1"/>
      <c r="B450" s="16"/>
      <c r="C450" s="17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2.6" customHeight="1" x14ac:dyDescent="0.3">
      <c r="A451" s="1"/>
      <c r="B451" s="16"/>
      <c r="C451" s="17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2.6" customHeight="1" x14ac:dyDescent="0.3">
      <c r="A452" s="1"/>
      <c r="B452" s="16"/>
      <c r="C452" s="17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2.6" customHeight="1" x14ac:dyDescent="0.3">
      <c r="A453" s="1"/>
      <c r="B453" s="16"/>
      <c r="C453" s="17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2.6" customHeight="1" x14ac:dyDescent="0.3">
      <c r="A454" s="1"/>
      <c r="B454" s="16"/>
      <c r="C454" s="17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2.6" customHeight="1" x14ac:dyDescent="0.3">
      <c r="A455" s="1"/>
      <c r="B455" s="16"/>
      <c r="C455" s="17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2.6" customHeight="1" x14ac:dyDescent="0.3">
      <c r="A456" s="1"/>
      <c r="B456" s="16"/>
      <c r="C456" s="17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2.6" customHeight="1" x14ac:dyDescent="0.3">
      <c r="A457" s="1"/>
      <c r="B457" s="16"/>
      <c r="C457" s="17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2.6" customHeight="1" x14ac:dyDescent="0.3">
      <c r="A458" s="1"/>
      <c r="B458" s="16"/>
      <c r="C458" s="17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2.6" customHeight="1" x14ac:dyDescent="0.3">
      <c r="A459" s="1"/>
      <c r="B459" s="16"/>
      <c r="C459" s="17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2.6" customHeight="1" x14ac:dyDescent="0.3">
      <c r="A460" s="1"/>
      <c r="B460" s="16"/>
      <c r="C460" s="17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2.6" customHeight="1" x14ac:dyDescent="0.3">
      <c r="A461" s="1"/>
      <c r="B461" s="16"/>
      <c r="C461" s="17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2.6" customHeight="1" x14ac:dyDescent="0.3">
      <c r="A462" s="1"/>
      <c r="B462" s="16"/>
      <c r="C462" s="17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2.6" customHeight="1" x14ac:dyDescent="0.3">
      <c r="A463" s="1"/>
      <c r="B463" s="16"/>
      <c r="C463" s="17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2.6" customHeight="1" x14ac:dyDescent="0.3">
      <c r="A464" s="1"/>
      <c r="B464" s="16"/>
      <c r="C464" s="17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2.6" customHeight="1" x14ac:dyDescent="0.3">
      <c r="A465" s="1"/>
      <c r="B465" s="16"/>
      <c r="C465" s="17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2.6" customHeight="1" x14ac:dyDescent="0.3">
      <c r="A466" s="1"/>
      <c r="B466" s="16"/>
      <c r="C466" s="17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2.6" customHeight="1" x14ac:dyDescent="0.3">
      <c r="A467" s="1"/>
      <c r="B467" s="16"/>
      <c r="C467" s="17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2.6" customHeight="1" x14ac:dyDescent="0.3">
      <c r="A468" s="1"/>
      <c r="B468" s="16"/>
      <c r="C468" s="17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2.6" customHeight="1" x14ac:dyDescent="0.3">
      <c r="A469" s="1"/>
      <c r="B469" s="16"/>
      <c r="C469" s="17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2.6" customHeight="1" x14ac:dyDescent="0.3">
      <c r="A470" s="1"/>
      <c r="B470" s="16"/>
      <c r="C470" s="17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2.6" customHeight="1" x14ac:dyDescent="0.3">
      <c r="A471" s="1"/>
      <c r="B471" s="16"/>
      <c r="C471" s="17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2.6" customHeight="1" x14ac:dyDescent="0.3">
      <c r="A472" s="1"/>
      <c r="B472" s="16"/>
      <c r="C472" s="17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2.6" customHeight="1" x14ac:dyDescent="0.3">
      <c r="A473" s="1"/>
      <c r="B473" s="16"/>
      <c r="C473" s="17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2.6" customHeight="1" x14ac:dyDescent="0.3">
      <c r="A474" s="1"/>
      <c r="B474" s="16"/>
      <c r="C474" s="17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2.6" customHeight="1" x14ac:dyDescent="0.3">
      <c r="A475" s="1"/>
      <c r="B475" s="16"/>
      <c r="C475" s="17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2.6" customHeight="1" x14ac:dyDescent="0.3">
      <c r="A476" s="1"/>
      <c r="B476" s="16"/>
      <c r="C476" s="17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2.6" customHeight="1" x14ac:dyDescent="0.3">
      <c r="A477" s="1"/>
      <c r="B477" s="16"/>
      <c r="C477" s="17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2.6" customHeight="1" x14ac:dyDescent="0.3">
      <c r="A478" s="1"/>
      <c r="B478" s="16"/>
      <c r="C478" s="17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2.6" customHeight="1" x14ac:dyDescent="0.3">
      <c r="A479" s="1"/>
      <c r="B479" s="16"/>
      <c r="C479" s="17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2.6" customHeight="1" x14ac:dyDescent="0.3">
      <c r="A480" s="1"/>
      <c r="B480" s="16"/>
      <c r="C480" s="17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2.6" customHeight="1" x14ac:dyDescent="0.3">
      <c r="A481" s="1"/>
      <c r="B481" s="16"/>
      <c r="C481" s="17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2.6" customHeight="1" x14ac:dyDescent="0.3">
      <c r="A482" s="1"/>
      <c r="B482" s="16"/>
      <c r="C482" s="17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2.6" customHeight="1" x14ac:dyDescent="0.3">
      <c r="A483" s="1"/>
      <c r="B483" s="16"/>
      <c r="C483" s="17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2.6" customHeight="1" x14ac:dyDescent="0.3">
      <c r="A484" s="1"/>
      <c r="B484" s="16"/>
      <c r="C484" s="17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2.6" customHeight="1" x14ac:dyDescent="0.3">
      <c r="A485" s="1"/>
      <c r="B485" s="16"/>
      <c r="C485" s="17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2.6" customHeight="1" x14ac:dyDescent="0.3">
      <c r="A486" s="1"/>
      <c r="B486" s="16"/>
      <c r="C486" s="17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2.6" customHeight="1" x14ac:dyDescent="0.3">
      <c r="A487" s="1"/>
      <c r="B487" s="16"/>
      <c r="C487" s="17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2.6" customHeight="1" x14ac:dyDescent="0.3">
      <c r="A488" s="1"/>
      <c r="B488" s="16"/>
      <c r="C488" s="17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2.6" customHeight="1" x14ac:dyDescent="0.3">
      <c r="A489" s="1"/>
      <c r="B489" s="16"/>
      <c r="C489" s="17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2.6" customHeight="1" x14ac:dyDescent="0.3">
      <c r="A490" s="1"/>
      <c r="B490" s="16"/>
      <c r="C490" s="17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2.6" customHeight="1" x14ac:dyDescent="0.3">
      <c r="A491" s="1"/>
      <c r="B491" s="16"/>
      <c r="C491" s="17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2.6" customHeight="1" x14ac:dyDescent="0.3">
      <c r="A492" s="1"/>
      <c r="B492" s="16"/>
      <c r="C492" s="17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2.6" customHeight="1" x14ac:dyDescent="0.3">
      <c r="A493" s="1"/>
      <c r="B493" s="16"/>
      <c r="C493" s="17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2.6" customHeight="1" x14ac:dyDescent="0.3">
      <c r="A494" s="1"/>
      <c r="B494" s="16"/>
      <c r="C494" s="17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2.6" customHeight="1" x14ac:dyDescent="0.3">
      <c r="A495" s="1"/>
      <c r="B495" s="16"/>
      <c r="C495" s="17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2.6" customHeight="1" x14ac:dyDescent="0.3">
      <c r="A496" s="1"/>
      <c r="B496" s="16"/>
      <c r="C496" s="17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2.6" customHeight="1" x14ac:dyDescent="0.3">
      <c r="A497" s="1"/>
      <c r="B497" s="16"/>
      <c r="C497" s="17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2.6" customHeight="1" x14ac:dyDescent="0.3">
      <c r="A498" s="1"/>
      <c r="B498" s="16"/>
      <c r="C498" s="17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2.6" customHeight="1" x14ac:dyDescent="0.3">
      <c r="A499" s="1"/>
      <c r="B499" s="16"/>
      <c r="C499" s="17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2.6" customHeight="1" x14ac:dyDescent="0.3">
      <c r="A500" s="1"/>
      <c r="B500" s="16"/>
      <c r="C500" s="17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2.6" customHeight="1" x14ac:dyDescent="0.3">
      <c r="A501" s="1"/>
      <c r="B501" s="16"/>
      <c r="C501" s="17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2.6" customHeight="1" x14ac:dyDescent="0.3">
      <c r="A502" s="1"/>
      <c r="B502" s="16"/>
      <c r="C502" s="17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2.6" customHeight="1" x14ac:dyDescent="0.3">
      <c r="A503" s="1"/>
      <c r="B503" s="16"/>
      <c r="C503" s="17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2.6" customHeight="1" x14ac:dyDescent="0.3">
      <c r="A504" s="1"/>
      <c r="B504" s="16"/>
      <c r="C504" s="17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2.6" customHeight="1" x14ac:dyDescent="0.3">
      <c r="A505" s="1"/>
      <c r="B505" s="16"/>
      <c r="C505" s="17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2.6" customHeight="1" x14ac:dyDescent="0.3">
      <c r="A506" s="1"/>
      <c r="B506" s="16"/>
      <c r="C506" s="17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2.6" customHeight="1" x14ac:dyDescent="0.3">
      <c r="A507" s="1"/>
      <c r="B507" s="16"/>
      <c r="C507" s="17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2.6" customHeight="1" x14ac:dyDescent="0.3">
      <c r="A508" s="1"/>
      <c r="B508" s="16"/>
      <c r="C508" s="17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2.6" customHeight="1" x14ac:dyDescent="0.3">
      <c r="A509" s="1"/>
      <c r="B509" s="16"/>
      <c r="C509" s="17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2.6" customHeight="1" x14ac:dyDescent="0.3">
      <c r="A510" s="1"/>
      <c r="B510" s="16"/>
      <c r="C510" s="17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2.6" customHeight="1" x14ac:dyDescent="0.3">
      <c r="A511" s="1"/>
      <c r="B511" s="16"/>
      <c r="C511" s="17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2.6" customHeight="1" x14ac:dyDescent="0.3">
      <c r="A512" s="1"/>
      <c r="B512" s="16"/>
      <c r="C512" s="17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2.6" customHeight="1" x14ac:dyDescent="0.3">
      <c r="A513" s="1"/>
      <c r="B513" s="16"/>
      <c r="C513" s="17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2.6" customHeight="1" x14ac:dyDescent="0.3">
      <c r="A514" s="1"/>
      <c r="B514" s="16"/>
      <c r="C514" s="17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2.6" customHeight="1" x14ac:dyDescent="0.3">
      <c r="A515" s="1"/>
      <c r="B515" s="16"/>
      <c r="C515" s="17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2.6" customHeight="1" x14ac:dyDescent="0.3">
      <c r="A516" s="1"/>
      <c r="B516" s="16"/>
      <c r="C516" s="17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2.6" customHeight="1" x14ac:dyDescent="0.3">
      <c r="A517" s="1"/>
      <c r="B517" s="16"/>
      <c r="C517" s="17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2.6" customHeight="1" x14ac:dyDescent="0.3">
      <c r="A518" s="1"/>
      <c r="B518" s="16"/>
      <c r="C518" s="17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2.6" customHeight="1" x14ac:dyDescent="0.3">
      <c r="A519" s="1"/>
      <c r="B519" s="16"/>
      <c r="C519" s="17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2.6" customHeight="1" x14ac:dyDescent="0.3">
      <c r="A520" s="1"/>
      <c r="B520" s="16"/>
      <c r="C520" s="17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2.6" customHeight="1" x14ac:dyDescent="0.3">
      <c r="A521" s="1"/>
      <c r="B521" s="16"/>
      <c r="C521" s="17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2.6" customHeight="1" x14ac:dyDescent="0.3">
      <c r="A522" s="1"/>
      <c r="B522" s="16"/>
      <c r="C522" s="17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2.6" customHeight="1" x14ac:dyDescent="0.3">
      <c r="A523" s="1"/>
      <c r="B523" s="16"/>
      <c r="C523" s="17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2.6" customHeight="1" x14ac:dyDescent="0.3">
      <c r="A524" s="1"/>
      <c r="B524" s="16"/>
      <c r="C524" s="17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2.6" customHeight="1" x14ac:dyDescent="0.3">
      <c r="A525" s="1"/>
      <c r="B525" s="16"/>
      <c r="C525" s="17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2.6" customHeight="1" x14ac:dyDescent="0.3">
      <c r="A526" s="1"/>
      <c r="B526" s="16"/>
      <c r="C526" s="17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2.6" customHeight="1" x14ac:dyDescent="0.3">
      <c r="A527" s="1"/>
      <c r="B527" s="16"/>
      <c r="C527" s="17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2.6" customHeight="1" x14ac:dyDescent="0.3">
      <c r="A528" s="1"/>
      <c r="B528" s="16"/>
      <c r="C528" s="17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2.6" customHeight="1" x14ac:dyDescent="0.3">
      <c r="A529" s="1"/>
      <c r="B529" s="16"/>
      <c r="C529" s="17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2.6" customHeight="1" x14ac:dyDescent="0.3">
      <c r="A530" s="1"/>
      <c r="B530" s="16"/>
      <c r="C530" s="17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2.6" customHeight="1" x14ac:dyDescent="0.3">
      <c r="A531" s="1"/>
      <c r="B531" s="16"/>
      <c r="C531" s="17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2.6" customHeight="1" x14ac:dyDescent="0.3">
      <c r="A532" s="1"/>
      <c r="B532" s="16"/>
      <c r="C532" s="17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6" customHeight="1" x14ac:dyDescent="0.3">
      <c r="A533" s="1"/>
      <c r="B533" s="16"/>
      <c r="C533" s="17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2.6" customHeight="1" x14ac:dyDescent="0.3">
      <c r="A534" s="1"/>
      <c r="B534" s="16"/>
      <c r="C534" s="17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2.6" customHeight="1" x14ac:dyDescent="0.3">
      <c r="A535" s="1"/>
      <c r="B535" s="16"/>
      <c r="C535" s="17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2.6" customHeight="1" x14ac:dyDescent="0.3">
      <c r="A536" s="1"/>
      <c r="B536" s="16"/>
      <c r="C536" s="17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2.6" customHeight="1" x14ac:dyDescent="0.3">
      <c r="A537" s="1"/>
      <c r="B537" s="16"/>
      <c r="C537" s="17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2.6" customHeight="1" x14ac:dyDescent="0.3">
      <c r="A538" s="1"/>
      <c r="B538" s="16"/>
      <c r="C538" s="17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2.6" customHeight="1" x14ac:dyDescent="0.3">
      <c r="A539" s="1"/>
      <c r="B539" s="16"/>
      <c r="C539" s="17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2.6" customHeight="1" x14ac:dyDescent="0.3">
      <c r="A540" s="1"/>
      <c r="B540" s="16"/>
      <c r="C540" s="17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2.6" customHeight="1" x14ac:dyDescent="0.3">
      <c r="A541" s="1"/>
      <c r="B541" s="16"/>
      <c r="C541" s="17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2.6" customHeight="1" x14ac:dyDescent="0.3">
      <c r="A542" s="1"/>
      <c r="B542" s="16"/>
      <c r="C542" s="17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2.6" customHeight="1" x14ac:dyDescent="0.3">
      <c r="A543" s="1"/>
      <c r="B543" s="16"/>
      <c r="C543" s="17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2.6" customHeight="1" x14ac:dyDescent="0.3">
      <c r="A544" s="1"/>
      <c r="B544" s="16"/>
      <c r="C544" s="17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2.6" customHeight="1" x14ac:dyDescent="0.3">
      <c r="A545" s="1"/>
      <c r="B545" s="16"/>
      <c r="C545" s="17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2.6" customHeight="1" x14ac:dyDescent="0.3">
      <c r="A546" s="1"/>
      <c r="B546" s="16"/>
      <c r="C546" s="17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2.6" customHeight="1" x14ac:dyDescent="0.3">
      <c r="A547" s="1"/>
      <c r="B547" s="16"/>
      <c r="C547" s="17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2.6" customHeight="1" x14ac:dyDescent="0.3">
      <c r="A548" s="1"/>
      <c r="B548" s="16"/>
      <c r="C548" s="17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2.6" customHeight="1" x14ac:dyDescent="0.3">
      <c r="A549" s="1"/>
      <c r="B549" s="16"/>
      <c r="C549" s="17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2.6" customHeight="1" x14ac:dyDescent="0.3">
      <c r="A550" s="1"/>
      <c r="B550" s="16"/>
      <c r="C550" s="17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2.6" customHeight="1" x14ac:dyDescent="0.3">
      <c r="A551" s="1"/>
      <c r="B551" s="16"/>
      <c r="C551" s="17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2.6" customHeight="1" x14ac:dyDescent="0.3">
      <c r="A552" s="1"/>
      <c r="B552" s="16"/>
      <c r="C552" s="17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2.6" customHeight="1" x14ac:dyDescent="0.3">
      <c r="A553" s="1"/>
      <c r="B553" s="16"/>
      <c r="C553" s="17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2.6" customHeight="1" x14ac:dyDescent="0.3">
      <c r="A554" s="1"/>
      <c r="B554" s="16"/>
      <c r="C554" s="17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2.6" customHeight="1" x14ac:dyDescent="0.3">
      <c r="A555" s="1"/>
      <c r="B555" s="16"/>
      <c r="C555" s="17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2.6" customHeight="1" x14ac:dyDescent="0.3">
      <c r="A556" s="1"/>
      <c r="B556" s="16"/>
      <c r="C556" s="17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2.6" customHeight="1" x14ac:dyDescent="0.3">
      <c r="A557" s="1"/>
      <c r="B557" s="16"/>
      <c r="C557" s="17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2.6" customHeight="1" x14ac:dyDescent="0.3">
      <c r="A558" s="1"/>
      <c r="B558" s="16"/>
      <c r="C558" s="17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2.6" customHeight="1" x14ac:dyDescent="0.3">
      <c r="A559" s="1"/>
      <c r="B559" s="16"/>
      <c r="C559" s="17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2.6" customHeight="1" x14ac:dyDescent="0.3">
      <c r="A560" s="1"/>
      <c r="B560" s="16"/>
      <c r="C560" s="17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2.6" customHeight="1" x14ac:dyDescent="0.3">
      <c r="A561" s="1"/>
      <c r="B561" s="16"/>
      <c r="C561" s="17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2.6" customHeight="1" x14ac:dyDescent="0.3">
      <c r="A562" s="1"/>
      <c r="B562" s="16"/>
      <c r="C562" s="17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2.6" customHeight="1" x14ac:dyDescent="0.3">
      <c r="A563" s="1"/>
      <c r="B563" s="16"/>
      <c r="C563" s="17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2.6" customHeight="1" x14ac:dyDescent="0.3">
      <c r="A564" s="1"/>
      <c r="B564" s="16"/>
      <c r="C564" s="17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2.6" customHeight="1" x14ac:dyDescent="0.3">
      <c r="A565" s="1"/>
      <c r="B565" s="16"/>
      <c r="C565" s="17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2.6" customHeight="1" x14ac:dyDescent="0.3">
      <c r="A566" s="1"/>
      <c r="B566" s="16"/>
      <c r="C566" s="17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2.6" customHeight="1" x14ac:dyDescent="0.3">
      <c r="A567" s="1"/>
      <c r="B567" s="16"/>
      <c r="C567" s="17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2.6" customHeight="1" x14ac:dyDescent="0.3">
      <c r="A568" s="1"/>
      <c r="B568" s="16"/>
      <c r="C568" s="17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2.6" customHeight="1" x14ac:dyDescent="0.3">
      <c r="A569" s="1"/>
      <c r="B569" s="16"/>
      <c r="C569" s="17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2.6" customHeight="1" x14ac:dyDescent="0.3">
      <c r="A570" s="1"/>
      <c r="B570" s="16"/>
      <c r="C570" s="17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2.6" customHeight="1" x14ac:dyDescent="0.3">
      <c r="A571" s="1"/>
      <c r="B571" s="16"/>
      <c r="C571" s="17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2.6" customHeight="1" x14ac:dyDescent="0.3">
      <c r="A572" s="1"/>
      <c r="B572" s="16"/>
      <c r="C572" s="17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2.6" customHeight="1" x14ac:dyDescent="0.3">
      <c r="A573" s="1"/>
      <c r="B573" s="16"/>
      <c r="C573" s="17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2.6" customHeight="1" x14ac:dyDescent="0.3">
      <c r="A574" s="1"/>
      <c r="B574" s="16"/>
      <c r="C574" s="17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2.6" customHeight="1" x14ac:dyDescent="0.3">
      <c r="A575" s="1"/>
      <c r="B575" s="16"/>
      <c r="C575" s="17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2.6" customHeight="1" x14ac:dyDescent="0.3">
      <c r="A576" s="1"/>
      <c r="B576" s="16"/>
      <c r="C576" s="17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2.6" customHeight="1" x14ac:dyDescent="0.3">
      <c r="A577" s="1"/>
      <c r="B577" s="16"/>
      <c r="C577" s="17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2.6" customHeight="1" x14ac:dyDescent="0.3">
      <c r="A578" s="1"/>
      <c r="B578" s="16"/>
      <c r="C578" s="17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2.6" customHeight="1" x14ac:dyDescent="0.3">
      <c r="A579" s="1"/>
      <c r="B579" s="16"/>
      <c r="C579" s="17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2.6" customHeight="1" x14ac:dyDescent="0.3">
      <c r="A580" s="1"/>
      <c r="B580" s="16"/>
      <c r="C580" s="17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2.6" customHeight="1" x14ac:dyDescent="0.3">
      <c r="A581" s="1"/>
      <c r="B581" s="16"/>
      <c r="C581" s="17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2.6" customHeight="1" x14ac:dyDescent="0.3">
      <c r="A582" s="1"/>
      <c r="B582" s="16"/>
      <c r="C582" s="17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2.6" customHeight="1" x14ac:dyDescent="0.3">
      <c r="A583" s="1"/>
      <c r="B583" s="16"/>
      <c r="C583" s="17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2.6" customHeight="1" x14ac:dyDescent="0.3">
      <c r="A584" s="1"/>
      <c r="B584" s="16"/>
      <c r="C584" s="17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2.6" customHeight="1" x14ac:dyDescent="0.3">
      <c r="A585" s="1"/>
      <c r="B585" s="16"/>
      <c r="C585" s="17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2.6" customHeight="1" x14ac:dyDescent="0.3">
      <c r="A586" s="1"/>
      <c r="B586" s="16"/>
      <c r="C586" s="17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2.6" customHeight="1" x14ac:dyDescent="0.3">
      <c r="A587" s="1"/>
      <c r="B587" s="16"/>
      <c r="C587" s="17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2.6" customHeight="1" x14ac:dyDescent="0.3">
      <c r="A588" s="1"/>
      <c r="B588" s="16"/>
      <c r="C588" s="17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2.6" customHeight="1" x14ac:dyDescent="0.3">
      <c r="A589" s="1"/>
      <c r="B589" s="16"/>
      <c r="C589" s="17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2.6" customHeight="1" x14ac:dyDescent="0.3">
      <c r="A590" s="1"/>
      <c r="B590" s="16"/>
      <c r="C590" s="17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2.6" customHeight="1" x14ac:dyDescent="0.3">
      <c r="A591" s="1"/>
      <c r="B591" s="16"/>
      <c r="C591" s="17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2.6" customHeight="1" x14ac:dyDescent="0.3">
      <c r="A592" s="1"/>
      <c r="B592" s="16"/>
      <c r="C592" s="17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2.6" customHeight="1" x14ac:dyDescent="0.3">
      <c r="A593" s="1"/>
      <c r="B593" s="16"/>
      <c r="C593" s="17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2.6" customHeight="1" x14ac:dyDescent="0.3">
      <c r="A594" s="1"/>
      <c r="B594" s="16"/>
      <c r="C594" s="17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2.6" customHeight="1" x14ac:dyDescent="0.3">
      <c r="A595" s="1"/>
      <c r="B595" s="16"/>
      <c r="C595" s="17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2.6" customHeight="1" x14ac:dyDescent="0.3">
      <c r="A596" s="1"/>
      <c r="B596" s="16"/>
      <c r="C596" s="17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2.6" customHeight="1" x14ac:dyDescent="0.3">
      <c r="A597" s="1"/>
      <c r="B597" s="16"/>
      <c r="C597" s="17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2.6" customHeight="1" x14ac:dyDescent="0.3">
      <c r="A598" s="1"/>
      <c r="B598" s="16"/>
      <c r="C598" s="17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2.6" customHeight="1" x14ac:dyDescent="0.3">
      <c r="A599" s="1"/>
      <c r="B599" s="16"/>
      <c r="C599" s="17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2.6" customHeight="1" x14ac:dyDescent="0.3">
      <c r="A600" s="1"/>
      <c r="B600" s="16"/>
      <c r="C600" s="17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2.6" customHeight="1" x14ac:dyDescent="0.3">
      <c r="A601" s="1"/>
      <c r="B601" s="16"/>
      <c r="C601" s="17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2.6" customHeight="1" x14ac:dyDescent="0.3">
      <c r="A602" s="1"/>
      <c r="B602" s="16"/>
      <c r="C602" s="17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2.6" customHeight="1" x14ac:dyDescent="0.3">
      <c r="A603" s="1"/>
      <c r="B603" s="16"/>
      <c r="C603" s="17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2.6" customHeight="1" x14ac:dyDescent="0.3">
      <c r="A604" s="1"/>
      <c r="B604" s="16"/>
      <c r="C604" s="17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2.6" customHeight="1" x14ac:dyDescent="0.3">
      <c r="A605" s="1"/>
      <c r="B605" s="16"/>
      <c r="C605" s="17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2.6" customHeight="1" x14ac:dyDescent="0.3">
      <c r="A606" s="1"/>
      <c r="B606" s="16"/>
      <c r="C606" s="17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2.6" customHeight="1" x14ac:dyDescent="0.3">
      <c r="A607" s="1"/>
      <c r="B607" s="16"/>
      <c r="C607" s="17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2.6" customHeight="1" x14ac:dyDescent="0.3">
      <c r="A608" s="1"/>
      <c r="B608" s="16"/>
      <c r="C608" s="17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2.6" customHeight="1" x14ac:dyDescent="0.3">
      <c r="A609" s="1"/>
      <c r="B609" s="16"/>
      <c r="C609" s="17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2.6" customHeight="1" x14ac:dyDescent="0.3">
      <c r="A610" s="1"/>
      <c r="B610" s="16"/>
      <c r="C610" s="17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2.6" customHeight="1" x14ac:dyDescent="0.3">
      <c r="A611" s="1"/>
      <c r="B611" s="16"/>
      <c r="C611" s="17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2.6" customHeight="1" x14ac:dyDescent="0.3">
      <c r="A612" s="1"/>
      <c r="B612" s="16"/>
      <c r="C612" s="17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2.6" customHeight="1" x14ac:dyDescent="0.3">
      <c r="A613" s="1"/>
      <c r="B613" s="16"/>
      <c r="C613" s="17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2.6" customHeight="1" x14ac:dyDescent="0.3">
      <c r="A614" s="1"/>
      <c r="B614" s="16"/>
      <c r="C614" s="17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2.6" customHeight="1" x14ac:dyDescent="0.3">
      <c r="A615" s="1"/>
      <c r="B615" s="16"/>
      <c r="C615" s="17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2.6" customHeight="1" x14ac:dyDescent="0.3">
      <c r="A616" s="1"/>
      <c r="B616" s="16"/>
      <c r="C616" s="17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2.6" customHeight="1" x14ac:dyDescent="0.3">
      <c r="A617" s="1"/>
      <c r="B617" s="16"/>
      <c r="C617" s="17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2.6" customHeight="1" x14ac:dyDescent="0.3">
      <c r="A618" s="1"/>
      <c r="B618" s="16"/>
      <c r="C618" s="17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2.6" customHeight="1" x14ac:dyDescent="0.3">
      <c r="A619" s="1"/>
      <c r="B619" s="16"/>
      <c r="C619" s="17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2.6" customHeight="1" x14ac:dyDescent="0.3">
      <c r="A620" s="1"/>
      <c r="B620" s="16"/>
      <c r="C620" s="17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2.6" customHeight="1" x14ac:dyDescent="0.3">
      <c r="A621" s="1"/>
      <c r="B621" s="16"/>
      <c r="C621" s="17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2.6" customHeight="1" x14ac:dyDescent="0.3">
      <c r="A622" s="1"/>
      <c r="B622" s="16"/>
      <c r="C622" s="17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2.6" customHeight="1" x14ac:dyDescent="0.3">
      <c r="A623" s="1"/>
      <c r="B623" s="16"/>
      <c r="C623" s="17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2.6" customHeight="1" x14ac:dyDescent="0.3">
      <c r="A624" s="1"/>
      <c r="B624" s="16"/>
      <c r="C624" s="17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2.6" customHeight="1" x14ac:dyDescent="0.3">
      <c r="A625" s="1"/>
      <c r="B625" s="16"/>
      <c r="C625" s="17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2.6" customHeight="1" x14ac:dyDescent="0.3">
      <c r="A626" s="1"/>
      <c r="B626" s="16"/>
      <c r="C626" s="17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2.6" customHeight="1" x14ac:dyDescent="0.3">
      <c r="A627" s="1"/>
      <c r="B627" s="16"/>
      <c r="C627" s="17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2.6" customHeight="1" x14ac:dyDescent="0.3">
      <c r="A628" s="1"/>
      <c r="B628" s="16"/>
      <c r="C628" s="17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2.6" customHeight="1" x14ac:dyDescent="0.3">
      <c r="A629" s="1"/>
      <c r="B629" s="16"/>
      <c r="C629" s="17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2.6" customHeight="1" x14ac:dyDescent="0.3">
      <c r="A630" s="1"/>
      <c r="B630" s="16"/>
      <c r="C630" s="17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2.6" customHeight="1" x14ac:dyDescent="0.3">
      <c r="A631" s="1"/>
      <c r="B631" s="16"/>
      <c r="C631" s="17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2.6" customHeight="1" x14ac:dyDescent="0.3">
      <c r="A632" s="1"/>
      <c r="B632" s="16"/>
      <c r="C632" s="17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2.6" customHeight="1" x14ac:dyDescent="0.3">
      <c r="A633" s="1"/>
      <c r="B633" s="16"/>
      <c r="C633" s="17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2.6" customHeight="1" x14ac:dyDescent="0.3">
      <c r="A634" s="1"/>
      <c r="B634" s="16"/>
      <c r="C634" s="17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2.6" customHeight="1" x14ac:dyDescent="0.3">
      <c r="A635" s="1"/>
      <c r="B635" s="16"/>
      <c r="C635" s="17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6" customHeight="1" x14ac:dyDescent="0.3">
      <c r="A636" s="1"/>
      <c r="B636" s="16"/>
      <c r="C636" s="17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2.6" customHeight="1" x14ac:dyDescent="0.3">
      <c r="A637" s="1"/>
      <c r="B637" s="16"/>
      <c r="C637" s="17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2.6" customHeight="1" x14ac:dyDescent="0.3">
      <c r="A638" s="1"/>
      <c r="B638" s="16"/>
      <c r="C638" s="17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2.6" customHeight="1" x14ac:dyDescent="0.3">
      <c r="A639" s="1"/>
      <c r="B639" s="16"/>
      <c r="C639" s="17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2.6" customHeight="1" x14ac:dyDescent="0.3">
      <c r="A640" s="1"/>
      <c r="B640" s="16"/>
      <c r="C640" s="17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2.6" customHeight="1" x14ac:dyDescent="0.3">
      <c r="A641" s="1"/>
      <c r="B641" s="16"/>
      <c r="C641" s="17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2.6" customHeight="1" x14ac:dyDescent="0.3">
      <c r="A642" s="1"/>
      <c r="B642" s="16"/>
      <c r="C642" s="17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2.6" customHeight="1" x14ac:dyDescent="0.3">
      <c r="A643" s="1"/>
      <c r="B643" s="16"/>
      <c r="C643" s="17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2.6" customHeight="1" x14ac:dyDescent="0.3">
      <c r="A644" s="1"/>
      <c r="B644" s="16"/>
      <c r="C644" s="17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2.6" customHeight="1" x14ac:dyDescent="0.3">
      <c r="A645" s="1"/>
      <c r="B645" s="16"/>
      <c r="C645" s="17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2.6" customHeight="1" x14ac:dyDescent="0.3">
      <c r="A646" s="1"/>
      <c r="B646" s="16"/>
      <c r="C646" s="17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2.6" customHeight="1" x14ac:dyDescent="0.3">
      <c r="A647" s="1"/>
      <c r="B647" s="16"/>
      <c r="C647" s="17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2.6" customHeight="1" x14ac:dyDescent="0.3">
      <c r="A648" s="1"/>
      <c r="B648" s="16"/>
      <c r="C648" s="17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2.6" customHeight="1" x14ac:dyDescent="0.3">
      <c r="A649" s="1"/>
      <c r="B649" s="16"/>
      <c r="C649" s="17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2.6" customHeight="1" x14ac:dyDescent="0.3">
      <c r="A650" s="1"/>
      <c r="B650" s="16"/>
      <c r="C650" s="17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2.6" customHeight="1" x14ac:dyDescent="0.3">
      <c r="A651" s="1"/>
      <c r="B651" s="16"/>
      <c r="C651" s="17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2.6" customHeight="1" x14ac:dyDescent="0.3">
      <c r="A652" s="1"/>
      <c r="B652" s="16"/>
      <c r="C652" s="17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2.6" customHeight="1" x14ac:dyDescent="0.3">
      <c r="A653" s="1"/>
      <c r="B653" s="16"/>
      <c r="C653" s="17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2.6" customHeight="1" x14ac:dyDescent="0.3">
      <c r="A654" s="1"/>
      <c r="B654" s="16"/>
      <c r="C654" s="17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2.6" customHeight="1" x14ac:dyDescent="0.3">
      <c r="A655" s="1"/>
      <c r="B655" s="16"/>
      <c r="C655" s="17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2.6" customHeight="1" x14ac:dyDescent="0.3">
      <c r="A656" s="1"/>
      <c r="B656" s="16"/>
      <c r="C656" s="17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2.6" customHeight="1" x14ac:dyDescent="0.3">
      <c r="A657" s="1"/>
      <c r="B657" s="16"/>
      <c r="C657" s="17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2.6" customHeight="1" x14ac:dyDescent="0.3">
      <c r="A658" s="1"/>
      <c r="B658" s="16"/>
      <c r="C658" s="17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2.6" customHeight="1" x14ac:dyDescent="0.3">
      <c r="A659" s="1"/>
      <c r="B659" s="16"/>
      <c r="C659" s="17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2.6" customHeight="1" x14ac:dyDescent="0.3">
      <c r="A660" s="1"/>
      <c r="B660" s="16"/>
      <c r="C660" s="17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2.6" customHeight="1" x14ac:dyDescent="0.3">
      <c r="A661" s="1"/>
      <c r="B661" s="16"/>
      <c r="C661" s="17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2.6" customHeight="1" x14ac:dyDescent="0.3">
      <c r="A662" s="1"/>
      <c r="B662" s="16"/>
      <c r="C662" s="17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2.6" customHeight="1" x14ac:dyDescent="0.3">
      <c r="A663" s="1"/>
      <c r="B663" s="16"/>
      <c r="C663" s="17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2.6" customHeight="1" x14ac:dyDescent="0.3">
      <c r="A664" s="1"/>
      <c r="B664" s="16"/>
      <c r="C664" s="17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2.6" customHeight="1" x14ac:dyDescent="0.3">
      <c r="A665" s="1"/>
      <c r="B665" s="16"/>
      <c r="C665" s="17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2.6" customHeight="1" x14ac:dyDescent="0.3">
      <c r="A666" s="1"/>
      <c r="B666" s="16"/>
      <c r="C666" s="17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2.6" customHeight="1" x14ac:dyDescent="0.3">
      <c r="A667" s="1"/>
      <c r="B667" s="16"/>
      <c r="C667" s="17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2.6" customHeight="1" x14ac:dyDescent="0.3">
      <c r="A668" s="1"/>
      <c r="B668" s="16"/>
      <c r="C668" s="17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2.6" customHeight="1" x14ac:dyDescent="0.3">
      <c r="A669" s="1"/>
      <c r="B669" s="16"/>
      <c r="C669" s="17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2.6" customHeight="1" x14ac:dyDescent="0.3">
      <c r="A670" s="1"/>
      <c r="B670" s="16"/>
      <c r="C670" s="17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2.6" customHeight="1" x14ac:dyDescent="0.3">
      <c r="A671" s="1"/>
      <c r="B671" s="16"/>
      <c r="C671" s="17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2.6" customHeight="1" x14ac:dyDescent="0.3">
      <c r="A672" s="1"/>
      <c r="B672" s="16"/>
      <c r="C672" s="17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2.6" customHeight="1" x14ac:dyDescent="0.3">
      <c r="A673" s="1"/>
      <c r="B673" s="16"/>
      <c r="C673" s="17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2.6" customHeight="1" x14ac:dyDescent="0.3">
      <c r="A674" s="1"/>
      <c r="B674" s="16"/>
      <c r="C674" s="17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2.6" customHeight="1" x14ac:dyDescent="0.3">
      <c r="A675" s="1"/>
      <c r="B675" s="16"/>
      <c r="C675" s="17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2.6" customHeight="1" x14ac:dyDescent="0.3">
      <c r="A676" s="1"/>
      <c r="B676" s="16"/>
      <c r="C676" s="17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2.6" customHeight="1" x14ac:dyDescent="0.3">
      <c r="A677" s="1"/>
      <c r="B677" s="16"/>
      <c r="C677" s="17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2.6" customHeight="1" x14ac:dyDescent="0.3">
      <c r="A678" s="1"/>
      <c r="B678" s="16"/>
      <c r="C678" s="17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2.6" customHeight="1" x14ac:dyDescent="0.3">
      <c r="A679" s="1"/>
      <c r="B679" s="16"/>
      <c r="C679" s="17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2.6" customHeight="1" x14ac:dyDescent="0.3">
      <c r="A680" s="1"/>
      <c r="B680" s="16"/>
      <c r="C680" s="17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2.6" customHeight="1" x14ac:dyDescent="0.3">
      <c r="A681" s="1"/>
      <c r="B681" s="16"/>
      <c r="C681" s="17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2.6" customHeight="1" x14ac:dyDescent="0.3">
      <c r="A682" s="1"/>
      <c r="B682" s="16"/>
      <c r="C682" s="17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2.6" customHeight="1" x14ac:dyDescent="0.3">
      <c r="A683" s="1"/>
      <c r="B683" s="16"/>
      <c r="C683" s="17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2.6" customHeight="1" x14ac:dyDescent="0.3">
      <c r="A684" s="1"/>
      <c r="B684" s="16"/>
      <c r="C684" s="17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2.6" customHeight="1" x14ac:dyDescent="0.3">
      <c r="A685" s="1"/>
      <c r="B685" s="16"/>
      <c r="C685" s="17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2.6" customHeight="1" x14ac:dyDescent="0.3">
      <c r="A686" s="1"/>
      <c r="B686" s="16"/>
      <c r="C686" s="17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2.6" customHeight="1" x14ac:dyDescent="0.3">
      <c r="A687" s="1"/>
      <c r="B687" s="16"/>
      <c r="C687" s="17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2.6" customHeight="1" x14ac:dyDescent="0.3">
      <c r="A688" s="1"/>
      <c r="B688" s="16"/>
      <c r="C688" s="17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2.6" customHeight="1" x14ac:dyDescent="0.3">
      <c r="A689" s="1"/>
      <c r="B689" s="16"/>
      <c r="C689" s="17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2.6" customHeight="1" x14ac:dyDescent="0.3">
      <c r="A690" s="1"/>
      <c r="B690" s="16"/>
      <c r="C690" s="17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2.6" customHeight="1" x14ac:dyDescent="0.3">
      <c r="A691" s="1"/>
      <c r="B691" s="16"/>
      <c r="C691" s="17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2.6" customHeight="1" x14ac:dyDescent="0.3">
      <c r="A692" s="1"/>
      <c r="B692" s="16"/>
      <c r="C692" s="17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2.6" customHeight="1" x14ac:dyDescent="0.3">
      <c r="A693" s="1"/>
      <c r="B693" s="16"/>
      <c r="C693" s="17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2.6" customHeight="1" x14ac:dyDescent="0.3">
      <c r="A694" s="1"/>
      <c r="B694" s="16"/>
      <c r="C694" s="17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2.6" customHeight="1" x14ac:dyDescent="0.3">
      <c r="A695" s="1"/>
      <c r="B695" s="16"/>
      <c r="C695" s="17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2.6" customHeight="1" x14ac:dyDescent="0.3">
      <c r="A696" s="1"/>
      <c r="B696" s="16"/>
      <c r="C696" s="17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2.6" customHeight="1" x14ac:dyDescent="0.3">
      <c r="A697" s="1"/>
      <c r="B697" s="16"/>
      <c r="C697" s="17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2.6" customHeight="1" x14ac:dyDescent="0.3">
      <c r="A698" s="1"/>
      <c r="B698" s="16"/>
      <c r="C698" s="17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2.6" customHeight="1" x14ac:dyDescent="0.3">
      <c r="A699" s="1"/>
      <c r="B699" s="16"/>
      <c r="C699" s="17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2.6" customHeight="1" x14ac:dyDescent="0.3">
      <c r="A700" s="1"/>
      <c r="B700" s="16"/>
      <c r="C700" s="17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2.6" customHeight="1" x14ac:dyDescent="0.3">
      <c r="A701" s="1"/>
      <c r="B701" s="16"/>
      <c r="C701" s="17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2.6" customHeight="1" x14ac:dyDescent="0.3">
      <c r="A702" s="1"/>
      <c r="B702" s="16"/>
      <c r="C702" s="17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2.6" customHeight="1" x14ac:dyDescent="0.3">
      <c r="A703" s="1"/>
      <c r="B703" s="16"/>
      <c r="C703" s="17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2.6" customHeight="1" x14ac:dyDescent="0.3">
      <c r="A704" s="1"/>
      <c r="B704" s="16"/>
      <c r="C704" s="17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2.6" customHeight="1" x14ac:dyDescent="0.3">
      <c r="A705" s="1"/>
      <c r="B705" s="16"/>
      <c r="C705" s="17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2.6" customHeight="1" x14ac:dyDescent="0.3">
      <c r="A706" s="1"/>
      <c r="B706" s="16"/>
      <c r="C706" s="17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2.6" customHeight="1" x14ac:dyDescent="0.3">
      <c r="A707" s="1"/>
      <c r="B707" s="16"/>
      <c r="C707" s="17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2.6" customHeight="1" x14ac:dyDescent="0.3">
      <c r="A708" s="1"/>
      <c r="B708" s="16"/>
      <c r="C708" s="17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2.6" customHeight="1" x14ac:dyDescent="0.3">
      <c r="A709" s="1"/>
      <c r="B709" s="16"/>
      <c r="C709" s="17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2.6" customHeight="1" x14ac:dyDescent="0.3">
      <c r="A710" s="1"/>
      <c r="B710" s="16"/>
      <c r="C710" s="17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2.6" customHeight="1" x14ac:dyDescent="0.3">
      <c r="A711" s="1"/>
      <c r="B711" s="16"/>
      <c r="C711" s="17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2.6" customHeight="1" x14ac:dyDescent="0.3">
      <c r="A712" s="1"/>
      <c r="B712" s="16"/>
      <c r="C712" s="17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2.6" customHeight="1" x14ac:dyDescent="0.3">
      <c r="A713" s="1"/>
      <c r="B713" s="16"/>
      <c r="C713" s="17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2.6" customHeight="1" x14ac:dyDescent="0.3">
      <c r="A714" s="1"/>
      <c r="B714" s="16"/>
      <c r="C714" s="17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2.6" customHeight="1" x14ac:dyDescent="0.3">
      <c r="A715" s="1"/>
      <c r="B715" s="16"/>
      <c r="C715" s="17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2.6" customHeight="1" x14ac:dyDescent="0.3">
      <c r="A716" s="1"/>
      <c r="B716" s="16"/>
      <c r="C716" s="17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2.6" customHeight="1" x14ac:dyDescent="0.3">
      <c r="A717" s="1"/>
      <c r="B717" s="16"/>
      <c r="C717" s="17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2.6" customHeight="1" x14ac:dyDescent="0.3">
      <c r="A718" s="1"/>
      <c r="B718" s="16"/>
      <c r="C718" s="17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2.6" customHeight="1" x14ac:dyDescent="0.3">
      <c r="A719" s="1"/>
      <c r="B719" s="16"/>
      <c r="C719" s="17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2.6" customHeight="1" x14ac:dyDescent="0.3">
      <c r="A720" s="1"/>
      <c r="B720" s="16"/>
      <c r="C720" s="17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2.6" customHeight="1" x14ac:dyDescent="0.3">
      <c r="A721" s="1"/>
      <c r="B721" s="16"/>
      <c r="C721" s="17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2.6" customHeight="1" x14ac:dyDescent="0.3">
      <c r="A722" s="1"/>
      <c r="B722" s="16"/>
      <c r="C722" s="17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2.6" customHeight="1" x14ac:dyDescent="0.3">
      <c r="A723" s="1"/>
      <c r="B723" s="16"/>
      <c r="C723" s="17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2.6" customHeight="1" x14ac:dyDescent="0.3">
      <c r="A724" s="1"/>
      <c r="B724" s="16"/>
      <c r="C724" s="17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2.6" customHeight="1" x14ac:dyDescent="0.3">
      <c r="A725" s="1"/>
      <c r="B725" s="16"/>
      <c r="C725" s="17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2.6" customHeight="1" x14ac:dyDescent="0.3">
      <c r="A726" s="1"/>
      <c r="B726" s="16"/>
      <c r="C726" s="17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2.6" customHeight="1" x14ac:dyDescent="0.3">
      <c r="A727" s="1"/>
      <c r="B727" s="16"/>
      <c r="C727" s="17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2.6" customHeight="1" x14ac:dyDescent="0.3">
      <c r="A728" s="1"/>
      <c r="B728" s="16"/>
      <c r="C728" s="17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2.6" customHeight="1" x14ac:dyDescent="0.3">
      <c r="A729" s="1"/>
      <c r="B729" s="16"/>
      <c r="C729" s="17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2.6" customHeight="1" x14ac:dyDescent="0.3">
      <c r="A730" s="1"/>
      <c r="B730" s="16"/>
      <c r="C730" s="17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2.6" customHeight="1" x14ac:dyDescent="0.3">
      <c r="A731" s="1"/>
      <c r="B731" s="16"/>
      <c r="C731" s="17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2.6" customHeight="1" x14ac:dyDescent="0.3">
      <c r="A732" s="1"/>
      <c r="B732" s="16"/>
      <c r="C732" s="17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2.6" customHeight="1" x14ac:dyDescent="0.3">
      <c r="A733" s="1"/>
      <c r="B733" s="16"/>
      <c r="C733" s="17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2.6" customHeight="1" x14ac:dyDescent="0.3">
      <c r="A734" s="1"/>
      <c r="B734" s="16"/>
      <c r="C734" s="17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2.6" customHeight="1" x14ac:dyDescent="0.3">
      <c r="A735" s="1"/>
      <c r="B735" s="16"/>
      <c r="C735" s="17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2.6" customHeight="1" x14ac:dyDescent="0.3">
      <c r="A736" s="1"/>
      <c r="B736" s="16"/>
      <c r="C736" s="17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2.6" customHeight="1" x14ac:dyDescent="0.3">
      <c r="A737" s="1"/>
      <c r="B737" s="16"/>
      <c r="C737" s="17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2.6" customHeight="1" x14ac:dyDescent="0.3">
      <c r="A738" s="1"/>
      <c r="B738" s="16"/>
      <c r="C738" s="17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2.6" customHeight="1" x14ac:dyDescent="0.3">
      <c r="A739" s="1"/>
      <c r="B739" s="16"/>
      <c r="C739" s="17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2.6" customHeight="1" x14ac:dyDescent="0.3">
      <c r="A740" s="1"/>
      <c r="B740" s="16"/>
      <c r="C740" s="17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2.6" customHeight="1" x14ac:dyDescent="0.3">
      <c r="A741" s="1"/>
      <c r="B741" s="16"/>
      <c r="C741" s="17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2.6" customHeight="1" x14ac:dyDescent="0.3">
      <c r="A742" s="1"/>
      <c r="B742" s="16"/>
      <c r="C742" s="17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2.6" customHeight="1" x14ac:dyDescent="0.3">
      <c r="A743" s="1"/>
      <c r="B743" s="16"/>
      <c r="C743" s="17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2.6" customHeight="1" x14ac:dyDescent="0.3">
      <c r="A744" s="1"/>
      <c r="B744" s="16"/>
      <c r="C744" s="17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2.6" customHeight="1" x14ac:dyDescent="0.3">
      <c r="A745" s="1"/>
      <c r="B745" s="16"/>
      <c r="C745" s="17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2.6" customHeight="1" x14ac:dyDescent="0.3">
      <c r="A746" s="1"/>
      <c r="B746" s="16"/>
      <c r="C746" s="17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2.6" customHeight="1" x14ac:dyDescent="0.3">
      <c r="A747" s="1"/>
      <c r="B747" s="16"/>
      <c r="C747" s="17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2.6" customHeight="1" x14ac:dyDescent="0.3">
      <c r="A748" s="1"/>
      <c r="B748" s="16"/>
      <c r="C748" s="17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2.6" customHeight="1" x14ac:dyDescent="0.3">
      <c r="A749" s="1"/>
      <c r="B749" s="16"/>
      <c r="C749" s="17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2.6" customHeight="1" x14ac:dyDescent="0.3">
      <c r="A750" s="1"/>
      <c r="B750" s="16"/>
      <c r="C750" s="17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2.6" customHeight="1" x14ac:dyDescent="0.3">
      <c r="A751" s="1"/>
      <c r="B751" s="16"/>
      <c r="C751" s="17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2.6" customHeight="1" x14ac:dyDescent="0.3">
      <c r="A752" s="1"/>
      <c r="B752" s="16"/>
      <c r="C752" s="17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2.6" customHeight="1" x14ac:dyDescent="0.3">
      <c r="A753" s="1"/>
      <c r="B753" s="16"/>
      <c r="C753" s="17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2.6" customHeight="1" x14ac:dyDescent="0.3">
      <c r="A754" s="1"/>
      <c r="B754" s="16"/>
      <c r="C754" s="17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2.6" customHeight="1" x14ac:dyDescent="0.3">
      <c r="A755" s="1"/>
      <c r="B755" s="16"/>
      <c r="C755" s="17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2.6" customHeight="1" x14ac:dyDescent="0.3">
      <c r="A756" s="1"/>
      <c r="B756" s="16"/>
      <c r="C756" s="17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2.6" customHeight="1" x14ac:dyDescent="0.3">
      <c r="A757" s="1"/>
      <c r="B757" s="16"/>
      <c r="C757" s="17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2.6" customHeight="1" x14ac:dyDescent="0.3">
      <c r="A758" s="1"/>
      <c r="B758" s="16"/>
      <c r="C758" s="17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2.6" customHeight="1" x14ac:dyDescent="0.3">
      <c r="A759" s="1"/>
      <c r="B759" s="16"/>
      <c r="C759" s="17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2.6" customHeight="1" x14ac:dyDescent="0.3">
      <c r="A760" s="1"/>
      <c r="B760" s="16"/>
      <c r="C760" s="17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2.6" customHeight="1" x14ac:dyDescent="0.3">
      <c r="A761" s="1"/>
      <c r="B761" s="16"/>
      <c r="C761" s="17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2.6" customHeight="1" x14ac:dyDescent="0.3">
      <c r="A762" s="1"/>
      <c r="B762" s="16"/>
      <c r="C762" s="17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2.6" customHeight="1" x14ac:dyDescent="0.3">
      <c r="A763" s="1"/>
      <c r="B763" s="16"/>
      <c r="C763" s="17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2.6" customHeight="1" x14ac:dyDescent="0.3">
      <c r="A764" s="1"/>
      <c r="B764" s="16"/>
      <c r="C764" s="17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2.6" customHeight="1" x14ac:dyDescent="0.3">
      <c r="A765" s="1"/>
      <c r="B765" s="16"/>
      <c r="C765" s="17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2.6" customHeight="1" x14ac:dyDescent="0.3">
      <c r="A766" s="1"/>
      <c r="B766" s="16"/>
      <c r="C766" s="17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2.6" customHeight="1" x14ac:dyDescent="0.3">
      <c r="A767" s="1"/>
      <c r="B767" s="16"/>
      <c r="C767" s="17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2.6" customHeight="1" x14ac:dyDescent="0.3">
      <c r="A768" s="1"/>
      <c r="B768" s="16"/>
      <c r="C768" s="17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2.6" customHeight="1" x14ac:dyDescent="0.3">
      <c r="A769" s="1"/>
      <c r="B769" s="16"/>
      <c r="C769" s="17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2.6" customHeight="1" x14ac:dyDescent="0.3">
      <c r="A770" s="1"/>
      <c r="B770" s="16"/>
      <c r="C770" s="17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2.6" customHeight="1" x14ac:dyDescent="0.3">
      <c r="A771" s="1"/>
      <c r="B771" s="16"/>
      <c r="C771" s="17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2.6" customHeight="1" x14ac:dyDescent="0.3">
      <c r="A772" s="1"/>
      <c r="B772" s="16"/>
      <c r="C772" s="17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2.6" customHeight="1" x14ac:dyDescent="0.3">
      <c r="A773" s="1"/>
      <c r="B773" s="16"/>
      <c r="C773" s="17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2.6" customHeight="1" x14ac:dyDescent="0.3">
      <c r="A774" s="1"/>
      <c r="B774" s="16"/>
      <c r="C774" s="17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2.6" customHeight="1" x14ac:dyDescent="0.3">
      <c r="A775" s="1"/>
      <c r="B775" s="16"/>
      <c r="C775" s="17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2.6" customHeight="1" x14ac:dyDescent="0.3">
      <c r="A776" s="1"/>
      <c r="B776" s="16"/>
      <c r="C776" s="17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2.6" customHeight="1" x14ac:dyDescent="0.3">
      <c r="A777" s="1"/>
      <c r="B777" s="16"/>
      <c r="C777" s="17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2.6" customHeight="1" x14ac:dyDescent="0.3">
      <c r="A778" s="1"/>
      <c r="B778" s="16"/>
      <c r="C778" s="17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2.6" customHeight="1" x14ac:dyDescent="0.3">
      <c r="A779" s="1"/>
      <c r="B779" s="16"/>
      <c r="C779" s="17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2.6" customHeight="1" x14ac:dyDescent="0.3">
      <c r="A780" s="1"/>
      <c r="B780" s="16"/>
      <c r="C780" s="17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2.6" customHeight="1" x14ac:dyDescent="0.3">
      <c r="A781" s="1"/>
      <c r="B781" s="16"/>
      <c r="C781" s="17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2.6" customHeight="1" x14ac:dyDescent="0.3">
      <c r="A782" s="1"/>
      <c r="B782" s="16"/>
      <c r="C782" s="17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2.6" customHeight="1" x14ac:dyDescent="0.3">
      <c r="A783" s="1"/>
      <c r="B783" s="16"/>
      <c r="C783" s="17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2.6" customHeight="1" x14ac:dyDescent="0.3">
      <c r="A784" s="1"/>
      <c r="B784" s="16"/>
      <c r="C784" s="17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2.6" customHeight="1" x14ac:dyDescent="0.3">
      <c r="A785" s="1"/>
      <c r="B785" s="16"/>
      <c r="C785" s="17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2.6" customHeight="1" x14ac:dyDescent="0.3">
      <c r="A786" s="1"/>
      <c r="B786" s="16"/>
      <c r="C786" s="17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2.6" customHeight="1" x14ac:dyDescent="0.3">
      <c r="A787" s="1"/>
      <c r="B787" s="16"/>
      <c r="C787" s="17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2.6" customHeight="1" x14ac:dyDescent="0.3">
      <c r="A788" s="1"/>
      <c r="B788" s="16"/>
      <c r="C788" s="17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2.6" customHeight="1" x14ac:dyDescent="0.3">
      <c r="A789" s="1"/>
      <c r="B789" s="16"/>
      <c r="C789" s="17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2.6" customHeight="1" x14ac:dyDescent="0.3">
      <c r="A790" s="1"/>
      <c r="B790" s="16"/>
      <c r="C790" s="17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2.6" customHeight="1" x14ac:dyDescent="0.3">
      <c r="A791" s="1"/>
      <c r="B791" s="16"/>
      <c r="C791" s="17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2.6" customHeight="1" x14ac:dyDescent="0.3">
      <c r="A792" s="1"/>
      <c r="B792" s="16"/>
      <c r="C792" s="17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2.6" customHeight="1" x14ac:dyDescent="0.3">
      <c r="A793" s="1"/>
      <c r="B793" s="16"/>
      <c r="C793" s="17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2.6" customHeight="1" x14ac:dyDescent="0.3">
      <c r="A794" s="1"/>
      <c r="B794" s="16"/>
      <c r="C794" s="17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2.6" customHeight="1" x14ac:dyDescent="0.3">
      <c r="A795" s="1"/>
      <c r="B795" s="16"/>
      <c r="C795" s="17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2.6" customHeight="1" x14ac:dyDescent="0.3">
      <c r="A796" s="1"/>
      <c r="B796" s="16"/>
      <c r="C796" s="17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2.6" customHeight="1" x14ac:dyDescent="0.3">
      <c r="A797" s="1"/>
      <c r="B797" s="16"/>
      <c r="C797" s="17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2.6" customHeight="1" x14ac:dyDescent="0.3">
      <c r="A798" s="1"/>
      <c r="B798" s="16"/>
      <c r="C798" s="17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2.6" customHeight="1" x14ac:dyDescent="0.3">
      <c r="A799" s="1"/>
      <c r="B799" s="16"/>
      <c r="C799" s="17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2.6" customHeight="1" x14ac:dyDescent="0.3">
      <c r="A800" s="1"/>
      <c r="B800" s="16"/>
      <c r="C800" s="17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2.6" customHeight="1" x14ac:dyDescent="0.3">
      <c r="A801" s="1"/>
      <c r="B801" s="16"/>
      <c r="C801" s="17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2.6" customHeight="1" x14ac:dyDescent="0.3">
      <c r="A802" s="1"/>
      <c r="B802" s="16"/>
      <c r="C802" s="17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2.6" customHeight="1" x14ac:dyDescent="0.3">
      <c r="A803" s="1"/>
      <c r="B803" s="16"/>
      <c r="C803" s="17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2.6" customHeight="1" x14ac:dyDescent="0.3">
      <c r="A804" s="1"/>
      <c r="B804" s="16"/>
      <c r="C804" s="17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2.6" customHeight="1" x14ac:dyDescent="0.3">
      <c r="A805" s="1"/>
      <c r="B805" s="16"/>
      <c r="C805" s="17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2.6" customHeight="1" x14ac:dyDescent="0.3">
      <c r="A806" s="1"/>
      <c r="B806" s="16"/>
      <c r="C806" s="17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2.6" customHeight="1" x14ac:dyDescent="0.3">
      <c r="A807" s="1"/>
      <c r="B807" s="16"/>
      <c r="C807" s="17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2.6" customHeight="1" x14ac:dyDescent="0.3">
      <c r="A808" s="1"/>
      <c r="B808" s="16"/>
      <c r="C808" s="17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2.6" customHeight="1" x14ac:dyDescent="0.3">
      <c r="A809" s="1"/>
      <c r="B809" s="16"/>
      <c r="C809" s="17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2.6" customHeight="1" x14ac:dyDescent="0.3">
      <c r="A810" s="1"/>
      <c r="B810" s="16"/>
      <c r="C810" s="17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2.6" customHeight="1" x14ac:dyDescent="0.3">
      <c r="A811" s="1"/>
      <c r="B811" s="16"/>
      <c r="C811" s="17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2.6" customHeight="1" x14ac:dyDescent="0.3">
      <c r="A812" s="1"/>
      <c r="B812" s="16"/>
      <c r="C812" s="17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2.6" customHeight="1" x14ac:dyDescent="0.3">
      <c r="A813" s="1"/>
      <c r="B813" s="16"/>
      <c r="C813" s="17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2.6" customHeight="1" x14ac:dyDescent="0.3">
      <c r="A814" s="1"/>
      <c r="B814" s="16"/>
      <c r="C814" s="17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2.6" customHeight="1" x14ac:dyDescent="0.3">
      <c r="A815" s="1"/>
      <c r="B815" s="16"/>
      <c r="C815" s="17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2.6" customHeight="1" x14ac:dyDescent="0.3">
      <c r="A816" s="1"/>
      <c r="B816" s="16"/>
      <c r="C816" s="17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2.6" customHeight="1" x14ac:dyDescent="0.3">
      <c r="A817" s="1"/>
      <c r="B817" s="16"/>
      <c r="C817" s="17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2.6" customHeight="1" x14ac:dyDescent="0.3">
      <c r="A818" s="1"/>
      <c r="B818" s="16"/>
      <c r="C818" s="17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2.6" customHeight="1" x14ac:dyDescent="0.3">
      <c r="A819" s="1"/>
      <c r="B819" s="16"/>
      <c r="C819" s="17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2.6" customHeight="1" x14ac:dyDescent="0.3">
      <c r="A820" s="1"/>
      <c r="B820" s="16"/>
      <c r="C820" s="17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2.6" customHeight="1" x14ac:dyDescent="0.3">
      <c r="A821" s="1"/>
      <c r="B821" s="16"/>
      <c r="C821" s="17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2.6" customHeight="1" x14ac:dyDescent="0.3">
      <c r="A822" s="1"/>
      <c r="B822" s="16"/>
      <c r="C822" s="17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2.6" customHeight="1" x14ac:dyDescent="0.3">
      <c r="A823" s="1"/>
      <c r="B823" s="16"/>
      <c r="C823" s="17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2.6" customHeight="1" x14ac:dyDescent="0.3">
      <c r="A824" s="1"/>
      <c r="B824" s="16"/>
      <c r="C824" s="17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2.6" customHeight="1" x14ac:dyDescent="0.3">
      <c r="A825" s="1"/>
      <c r="B825" s="16"/>
      <c r="C825" s="17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2.6" customHeight="1" x14ac:dyDescent="0.3">
      <c r="A826" s="1"/>
      <c r="B826" s="16"/>
      <c r="C826" s="17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2.6" customHeight="1" x14ac:dyDescent="0.3">
      <c r="A827" s="1"/>
      <c r="B827" s="16"/>
      <c r="C827" s="17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2.6" customHeight="1" x14ac:dyDescent="0.3">
      <c r="A828" s="1"/>
      <c r="B828" s="16"/>
      <c r="C828" s="17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2.6" customHeight="1" x14ac:dyDescent="0.3">
      <c r="A829" s="1"/>
      <c r="B829" s="16"/>
      <c r="C829" s="17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2.6" customHeight="1" x14ac:dyDescent="0.3">
      <c r="A830" s="1"/>
      <c r="B830" s="16"/>
      <c r="C830" s="17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2.6" customHeight="1" x14ac:dyDescent="0.3">
      <c r="A831" s="1"/>
      <c r="B831" s="16"/>
      <c r="C831" s="17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2.6" customHeight="1" x14ac:dyDescent="0.3">
      <c r="A832" s="1"/>
      <c r="B832" s="16"/>
      <c r="C832" s="17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2.6" customHeight="1" x14ac:dyDescent="0.3">
      <c r="A833" s="1"/>
      <c r="B833" s="16"/>
      <c r="C833" s="17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2.6" customHeight="1" x14ac:dyDescent="0.3">
      <c r="A834" s="1"/>
      <c r="B834" s="16"/>
      <c r="C834" s="17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2.6" customHeight="1" x14ac:dyDescent="0.3">
      <c r="A835" s="1"/>
      <c r="B835" s="16"/>
      <c r="C835" s="17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2.6" customHeight="1" x14ac:dyDescent="0.3">
      <c r="A836" s="1"/>
      <c r="B836" s="16"/>
      <c r="C836" s="17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2.6" customHeight="1" x14ac:dyDescent="0.3">
      <c r="A837" s="1"/>
      <c r="B837" s="16"/>
      <c r="C837" s="17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2.6" customHeight="1" x14ac:dyDescent="0.3">
      <c r="A838" s="1"/>
      <c r="B838" s="16"/>
      <c r="C838" s="17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2.6" customHeight="1" x14ac:dyDescent="0.3">
      <c r="A839" s="1"/>
      <c r="B839" s="16"/>
      <c r="C839" s="17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2.6" customHeight="1" x14ac:dyDescent="0.3">
      <c r="A840" s="1"/>
      <c r="B840" s="16"/>
      <c r="C840" s="17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2.6" customHeight="1" x14ac:dyDescent="0.3">
      <c r="A841" s="1"/>
      <c r="B841" s="16"/>
      <c r="C841" s="17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2.6" customHeight="1" x14ac:dyDescent="0.3">
      <c r="A842" s="1"/>
      <c r="B842" s="16"/>
      <c r="C842" s="17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2.6" customHeight="1" x14ac:dyDescent="0.3">
      <c r="A843" s="1"/>
      <c r="B843" s="16"/>
      <c r="C843" s="17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2.6" customHeight="1" x14ac:dyDescent="0.3">
      <c r="A844" s="1"/>
      <c r="B844" s="16"/>
      <c r="C844" s="17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2.6" customHeight="1" x14ac:dyDescent="0.3">
      <c r="A845" s="1"/>
      <c r="B845" s="16"/>
      <c r="C845" s="17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2.6" customHeight="1" x14ac:dyDescent="0.3">
      <c r="A846" s="1"/>
      <c r="B846" s="16"/>
      <c r="C846" s="17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2.6" customHeight="1" x14ac:dyDescent="0.3">
      <c r="A847" s="1"/>
      <c r="B847" s="16"/>
      <c r="C847" s="17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2.6" customHeight="1" x14ac:dyDescent="0.3">
      <c r="A848" s="1"/>
      <c r="B848" s="16"/>
      <c r="C848" s="17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2.6" customHeight="1" x14ac:dyDescent="0.3">
      <c r="A849" s="1"/>
      <c r="B849" s="16"/>
      <c r="C849" s="17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2.6" customHeight="1" x14ac:dyDescent="0.3">
      <c r="A850" s="1"/>
      <c r="B850" s="16"/>
      <c r="C850" s="17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2.6" customHeight="1" x14ac:dyDescent="0.3">
      <c r="A851" s="1"/>
      <c r="B851" s="16"/>
      <c r="C851" s="17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2.6" customHeight="1" x14ac:dyDescent="0.3">
      <c r="A852" s="1"/>
      <c r="B852" s="16"/>
      <c r="C852" s="17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2.6" customHeight="1" x14ac:dyDescent="0.3">
      <c r="A853" s="1"/>
      <c r="B853" s="16"/>
      <c r="C853" s="17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2.6" customHeight="1" x14ac:dyDescent="0.3">
      <c r="A854" s="1"/>
      <c r="B854" s="16"/>
      <c r="C854" s="17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2.6" customHeight="1" x14ac:dyDescent="0.3">
      <c r="A855" s="1"/>
      <c r="B855" s="16"/>
      <c r="C855" s="17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2.6" customHeight="1" x14ac:dyDescent="0.3">
      <c r="A856" s="1"/>
      <c r="B856" s="16"/>
      <c r="C856" s="17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2.6" customHeight="1" x14ac:dyDescent="0.3">
      <c r="A857" s="1"/>
      <c r="B857" s="16"/>
      <c r="C857" s="17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2.6" customHeight="1" x14ac:dyDescent="0.3">
      <c r="A858" s="1"/>
      <c r="B858" s="16"/>
      <c r="C858" s="17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2.6" customHeight="1" x14ac:dyDescent="0.3">
      <c r="A859" s="1"/>
      <c r="B859" s="16"/>
      <c r="C859" s="17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2.6" customHeight="1" x14ac:dyDescent="0.3">
      <c r="A860" s="1"/>
      <c r="B860" s="16"/>
      <c r="C860" s="17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2.6" customHeight="1" x14ac:dyDescent="0.3">
      <c r="A861" s="1"/>
      <c r="B861" s="16"/>
      <c r="C861" s="17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2.6" customHeight="1" x14ac:dyDescent="0.3">
      <c r="A862" s="1"/>
      <c r="B862" s="16"/>
      <c r="C862" s="17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2.6" customHeight="1" x14ac:dyDescent="0.3">
      <c r="A863" s="1"/>
      <c r="B863" s="16"/>
      <c r="C863" s="17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2.6" customHeight="1" x14ac:dyDescent="0.3">
      <c r="A864" s="1"/>
      <c r="B864" s="16"/>
      <c r="C864" s="17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2.6" customHeight="1" x14ac:dyDescent="0.3">
      <c r="A865" s="1"/>
      <c r="B865" s="16"/>
      <c r="C865" s="17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2.6" customHeight="1" x14ac:dyDescent="0.3">
      <c r="A866" s="1"/>
      <c r="B866" s="16"/>
      <c r="C866" s="17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2.6" customHeight="1" x14ac:dyDescent="0.3">
      <c r="A867" s="1"/>
      <c r="B867" s="16"/>
      <c r="C867" s="17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2.6" customHeight="1" x14ac:dyDescent="0.3">
      <c r="A868" s="1"/>
      <c r="B868" s="16"/>
      <c r="C868" s="17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2.6" customHeight="1" x14ac:dyDescent="0.3">
      <c r="A869" s="1"/>
      <c r="B869" s="16"/>
      <c r="C869" s="17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2.6" customHeight="1" x14ac:dyDescent="0.3">
      <c r="A870" s="1"/>
      <c r="B870" s="16"/>
      <c r="C870" s="17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2.6" customHeight="1" x14ac:dyDescent="0.3">
      <c r="A871" s="1"/>
      <c r="B871" s="16"/>
      <c r="C871" s="17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2.6" customHeight="1" x14ac:dyDescent="0.3">
      <c r="A872" s="1"/>
      <c r="B872" s="16"/>
      <c r="C872" s="17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2.6" customHeight="1" x14ac:dyDescent="0.3">
      <c r="A873" s="1"/>
      <c r="B873" s="16"/>
      <c r="C873" s="17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2.6" customHeight="1" x14ac:dyDescent="0.3">
      <c r="A874" s="1"/>
      <c r="B874" s="16"/>
      <c r="C874" s="17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2.6" customHeight="1" x14ac:dyDescent="0.3">
      <c r="A875" s="1"/>
      <c r="B875" s="16"/>
      <c r="C875" s="17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2.6" customHeight="1" x14ac:dyDescent="0.3">
      <c r="A876" s="1"/>
      <c r="B876" s="16"/>
      <c r="C876" s="17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2.6" customHeight="1" x14ac:dyDescent="0.3">
      <c r="A877" s="1"/>
      <c r="B877" s="16"/>
      <c r="C877" s="17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2.6" customHeight="1" x14ac:dyDescent="0.3">
      <c r="A878" s="1"/>
      <c r="B878" s="16"/>
      <c r="C878" s="17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2.6" customHeight="1" x14ac:dyDescent="0.3">
      <c r="A879" s="1"/>
      <c r="B879" s="16"/>
      <c r="C879" s="17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2.6" customHeight="1" x14ac:dyDescent="0.3">
      <c r="A880" s="1"/>
      <c r="B880" s="16"/>
      <c r="C880" s="17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2.6" customHeight="1" x14ac:dyDescent="0.3">
      <c r="A881" s="1"/>
      <c r="B881" s="16"/>
      <c r="C881" s="17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2.6" customHeight="1" x14ac:dyDescent="0.3">
      <c r="A882" s="1"/>
      <c r="B882" s="16"/>
      <c r="C882" s="17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2.6" customHeight="1" x14ac:dyDescent="0.3">
      <c r="A883" s="1"/>
      <c r="B883" s="16"/>
      <c r="C883" s="17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2.6" customHeight="1" x14ac:dyDescent="0.3">
      <c r="A884" s="1"/>
      <c r="B884" s="16"/>
      <c r="C884" s="17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2.6" customHeight="1" x14ac:dyDescent="0.3">
      <c r="A885" s="1"/>
      <c r="B885" s="16"/>
      <c r="C885" s="17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2.6" customHeight="1" x14ac:dyDescent="0.3">
      <c r="A886" s="1"/>
      <c r="B886" s="16"/>
      <c r="C886" s="17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2.6" customHeight="1" x14ac:dyDescent="0.3">
      <c r="A887" s="1"/>
      <c r="B887" s="16"/>
      <c r="C887" s="17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2.6" customHeight="1" x14ac:dyDescent="0.3">
      <c r="A888" s="1"/>
      <c r="B888" s="16"/>
      <c r="C888" s="17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2.6" customHeight="1" x14ac:dyDescent="0.3">
      <c r="A889" s="1"/>
      <c r="B889" s="16"/>
      <c r="C889" s="17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2.6" customHeight="1" x14ac:dyDescent="0.3">
      <c r="A890" s="1"/>
      <c r="B890" s="16"/>
      <c r="C890" s="17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2.6" customHeight="1" x14ac:dyDescent="0.3">
      <c r="A891" s="1"/>
      <c r="B891" s="16"/>
      <c r="C891" s="17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2.6" customHeight="1" x14ac:dyDescent="0.3">
      <c r="A892" s="1"/>
      <c r="B892" s="16"/>
      <c r="C892" s="17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2.6" customHeight="1" x14ac:dyDescent="0.3">
      <c r="A893" s="1"/>
      <c r="B893" s="16"/>
      <c r="C893" s="17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2.6" customHeight="1" x14ac:dyDescent="0.3">
      <c r="A894" s="1"/>
      <c r="B894" s="16"/>
      <c r="C894" s="17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2.6" customHeight="1" x14ac:dyDescent="0.3">
      <c r="A895" s="1"/>
      <c r="B895" s="16"/>
      <c r="C895" s="17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2.6" customHeight="1" x14ac:dyDescent="0.3">
      <c r="A896" s="1"/>
      <c r="B896" s="16"/>
      <c r="C896" s="17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2.6" customHeight="1" x14ac:dyDescent="0.3">
      <c r="A897" s="1"/>
      <c r="B897" s="16"/>
      <c r="C897" s="17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2.6" customHeight="1" x14ac:dyDescent="0.3">
      <c r="A898" s="1"/>
      <c r="B898" s="16"/>
      <c r="C898" s="17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2.6" customHeight="1" x14ac:dyDescent="0.3">
      <c r="A899" s="1"/>
      <c r="B899" s="16"/>
      <c r="C899" s="17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2.6" customHeight="1" x14ac:dyDescent="0.3">
      <c r="A900" s="1"/>
      <c r="B900" s="16"/>
      <c r="C900" s="17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2.6" customHeight="1" x14ac:dyDescent="0.3">
      <c r="A901" s="1"/>
      <c r="B901" s="16"/>
      <c r="C901" s="17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2.6" customHeight="1" x14ac:dyDescent="0.3">
      <c r="A902" s="1"/>
      <c r="B902" s="16"/>
      <c r="C902" s="17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2.6" customHeight="1" x14ac:dyDescent="0.3">
      <c r="A903" s="1"/>
      <c r="B903" s="16"/>
      <c r="C903" s="17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2.6" customHeight="1" x14ac:dyDescent="0.3">
      <c r="A904" s="1"/>
      <c r="B904" s="16"/>
      <c r="C904" s="17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2.6" customHeight="1" x14ac:dyDescent="0.3">
      <c r="A905" s="1"/>
      <c r="B905" s="16"/>
      <c r="C905" s="17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2.6" customHeight="1" x14ac:dyDescent="0.3">
      <c r="A906" s="1"/>
      <c r="B906" s="16"/>
      <c r="C906" s="17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2.6" customHeight="1" x14ac:dyDescent="0.3">
      <c r="A907" s="1"/>
      <c r="B907" s="16"/>
      <c r="C907" s="17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2.6" customHeight="1" x14ac:dyDescent="0.3">
      <c r="A908" s="1"/>
      <c r="B908" s="16"/>
      <c r="C908" s="17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2.6" customHeight="1" x14ac:dyDescent="0.3">
      <c r="A909" s="1"/>
      <c r="B909" s="16"/>
      <c r="C909" s="17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2.6" customHeight="1" x14ac:dyDescent="0.3">
      <c r="A910" s="1"/>
      <c r="B910" s="16"/>
      <c r="C910" s="17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2.6" customHeight="1" x14ac:dyDescent="0.3">
      <c r="A911" s="1"/>
      <c r="B911" s="16"/>
      <c r="C911" s="17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2.6" customHeight="1" x14ac:dyDescent="0.3">
      <c r="A912" s="1"/>
      <c r="B912" s="16"/>
      <c r="C912" s="17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2.6" customHeight="1" x14ac:dyDescent="0.3">
      <c r="A913" s="1"/>
      <c r="B913" s="16"/>
      <c r="C913" s="17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2.6" customHeight="1" x14ac:dyDescent="0.3">
      <c r="A914" s="1"/>
      <c r="B914" s="16"/>
      <c r="C914" s="17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2.6" customHeight="1" x14ac:dyDescent="0.3">
      <c r="A915" s="1"/>
      <c r="B915" s="16"/>
      <c r="C915" s="17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2.6" customHeight="1" x14ac:dyDescent="0.3">
      <c r="A916" s="1"/>
      <c r="B916" s="16"/>
      <c r="C916" s="17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2.6" customHeight="1" x14ac:dyDescent="0.3">
      <c r="A917" s="1"/>
      <c r="B917" s="16"/>
      <c r="C917" s="17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2.6" customHeight="1" x14ac:dyDescent="0.3">
      <c r="A918" s="1"/>
      <c r="B918" s="16"/>
      <c r="C918" s="17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2.6" customHeight="1" x14ac:dyDescent="0.3">
      <c r="A919" s="1"/>
      <c r="B919" s="16"/>
      <c r="C919" s="17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2.6" customHeight="1" x14ac:dyDescent="0.3">
      <c r="A920" s="1"/>
      <c r="B920" s="16"/>
      <c r="C920" s="17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2.6" customHeight="1" x14ac:dyDescent="0.3">
      <c r="A921" s="1"/>
      <c r="B921" s="16"/>
      <c r="C921" s="17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2.6" customHeight="1" x14ac:dyDescent="0.3">
      <c r="A922" s="1"/>
      <c r="B922" s="16"/>
      <c r="C922" s="17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2.6" customHeight="1" x14ac:dyDescent="0.3">
      <c r="A923" s="1"/>
      <c r="B923" s="16"/>
      <c r="C923" s="17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2.6" customHeight="1" x14ac:dyDescent="0.3">
      <c r="A924" s="1"/>
      <c r="B924" s="16"/>
      <c r="C924" s="17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2.6" customHeight="1" x14ac:dyDescent="0.3">
      <c r="A925" s="1"/>
      <c r="B925" s="16"/>
      <c r="C925" s="17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2.6" customHeight="1" x14ac:dyDescent="0.3">
      <c r="A926" s="1"/>
      <c r="B926" s="16"/>
      <c r="C926" s="17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2.6" customHeight="1" x14ac:dyDescent="0.3">
      <c r="A927" s="1"/>
      <c r="B927" s="16"/>
      <c r="C927" s="17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2.6" customHeight="1" x14ac:dyDescent="0.3">
      <c r="A928" s="1"/>
      <c r="B928" s="16"/>
      <c r="C928" s="17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2.6" customHeight="1" x14ac:dyDescent="0.3">
      <c r="A929" s="1"/>
      <c r="B929" s="16"/>
      <c r="C929" s="17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2.6" customHeight="1" x14ac:dyDescent="0.3">
      <c r="A930" s="1"/>
      <c r="B930" s="16"/>
      <c r="C930" s="17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2.6" customHeight="1" x14ac:dyDescent="0.3">
      <c r="A931" s="1"/>
      <c r="B931" s="16"/>
      <c r="C931" s="17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2.6" customHeight="1" x14ac:dyDescent="0.3">
      <c r="A932" s="1"/>
      <c r="B932" s="16"/>
      <c r="C932" s="17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2.6" customHeight="1" x14ac:dyDescent="0.3">
      <c r="A933" s="1"/>
      <c r="B933" s="16"/>
      <c r="C933" s="17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2.6" customHeight="1" x14ac:dyDescent="0.3">
      <c r="A934" s="1"/>
      <c r="B934" s="16"/>
      <c r="C934" s="17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2.6" customHeight="1" x14ac:dyDescent="0.3">
      <c r="A935" s="1"/>
      <c r="B935" s="16"/>
      <c r="C935" s="17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2.6" customHeight="1" x14ac:dyDescent="0.3">
      <c r="A936" s="1"/>
      <c r="B936" s="16"/>
      <c r="C936" s="17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2.6" customHeight="1" x14ac:dyDescent="0.3">
      <c r="A937" s="1"/>
      <c r="B937" s="16"/>
      <c r="C937" s="17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2.6" customHeight="1" x14ac:dyDescent="0.3">
      <c r="A938" s="1"/>
      <c r="B938" s="16"/>
      <c r="C938" s="17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2.6" customHeight="1" x14ac:dyDescent="0.3">
      <c r="A939" s="1"/>
      <c r="B939" s="16"/>
      <c r="C939" s="17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2.6" customHeight="1" x14ac:dyDescent="0.3">
      <c r="A940" s="1"/>
      <c r="B940" s="16"/>
      <c r="C940" s="17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2.6" customHeight="1" x14ac:dyDescent="0.3">
      <c r="A941" s="1"/>
      <c r="B941" s="16"/>
      <c r="C941" s="17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2.6" customHeight="1" x14ac:dyDescent="0.3">
      <c r="A942" s="1"/>
      <c r="B942" s="16"/>
      <c r="C942" s="17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2.6" customHeight="1" x14ac:dyDescent="0.3">
      <c r="A943" s="1"/>
      <c r="B943" s="16"/>
      <c r="C943" s="17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2.6" customHeight="1" x14ac:dyDescent="0.3">
      <c r="A944" s="1"/>
      <c r="B944" s="16"/>
      <c r="C944" s="17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2.6" customHeight="1" x14ac:dyDescent="0.3">
      <c r="A945" s="1"/>
      <c r="B945" s="16"/>
      <c r="C945" s="17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2.6" customHeight="1" x14ac:dyDescent="0.3">
      <c r="A946" s="1"/>
      <c r="B946" s="16"/>
      <c r="C946" s="17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2.6" customHeight="1" x14ac:dyDescent="0.3">
      <c r="A947" s="1"/>
      <c r="B947" s="16"/>
      <c r="C947" s="17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2.6" customHeight="1" x14ac:dyDescent="0.3">
      <c r="A948" s="1"/>
      <c r="B948" s="16"/>
      <c r="C948" s="17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2.6" customHeight="1" x14ac:dyDescent="0.3">
      <c r="A949" s="1"/>
      <c r="B949" s="16"/>
      <c r="C949" s="17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2.6" customHeight="1" x14ac:dyDescent="0.3">
      <c r="A950" s="1"/>
      <c r="B950" s="16"/>
      <c r="C950" s="17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2.6" customHeight="1" x14ac:dyDescent="0.3">
      <c r="A951" s="1"/>
      <c r="B951" s="16"/>
      <c r="C951" s="17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2.6" customHeight="1" x14ac:dyDescent="0.3">
      <c r="A952" s="1"/>
      <c r="B952" s="16"/>
      <c r="C952" s="17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2.6" customHeight="1" x14ac:dyDescent="0.3">
      <c r="A953" s="1"/>
      <c r="B953" s="16"/>
      <c r="C953" s="17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2.6" customHeight="1" x14ac:dyDescent="0.3">
      <c r="A954" s="1"/>
      <c r="B954" s="16"/>
      <c r="C954" s="17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2.6" customHeight="1" x14ac:dyDescent="0.3">
      <c r="A955" s="1"/>
      <c r="B955" s="16"/>
      <c r="C955" s="17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2.6" customHeight="1" x14ac:dyDescent="0.3">
      <c r="A956" s="1"/>
      <c r="B956" s="16"/>
      <c r="C956" s="17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2.6" customHeight="1" x14ac:dyDescent="0.3">
      <c r="A957" s="1"/>
      <c r="B957" s="16"/>
      <c r="C957" s="17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2.6" customHeight="1" x14ac:dyDescent="0.3">
      <c r="A958" s="1"/>
      <c r="B958" s="16"/>
      <c r="C958" s="17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2.6" customHeight="1" x14ac:dyDescent="0.3">
      <c r="A959" s="1"/>
      <c r="B959" s="16"/>
      <c r="C959" s="17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2.6" customHeight="1" x14ac:dyDescent="0.3">
      <c r="A960" s="1"/>
      <c r="B960" s="16"/>
      <c r="C960" s="17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2.6" customHeight="1" x14ac:dyDescent="0.3">
      <c r="A961" s="1"/>
      <c r="B961" s="16"/>
      <c r="C961" s="17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2.6" customHeight="1" x14ac:dyDescent="0.3">
      <c r="A962" s="1"/>
      <c r="B962" s="16"/>
      <c r="C962" s="17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2.6" customHeight="1" x14ac:dyDescent="0.3">
      <c r="A963" s="1"/>
      <c r="B963" s="16"/>
      <c r="C963" s="17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2.6" customHeight="1" x14ac:dyDescent="0.3">
      <c r="A964" s="1"/>
      <c r="B964" s="16"/>
      <c r="C964" s="17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2.6" customHeight="1" x14ac:dyDescent="0.3">
      <c r="A965" s="1"/>
      <c r="B965" s="16"/>
      <c r="C965" s="17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2.6" customHeight="1" x14ac:dyDescent="0.3">
      <c r="A966" s="1"/>
      <c r="B966" s="16"/>
      <c r="C966" s="17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2.6" customHeight="1" x14ac:dyDescent="0.3">
      <c r="A967" s="1"/>
      <c r="B967" s="16"/>
      <c r="C967" s="17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2.6" customHeight="1" x14ac:dyDescent="0.3">
      <c r="A968" s="1"/>
      <c r="B968" s="16"/>
      <c r="C968" s="17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2.6" customHeight="1" x14ac:dyDescent="0.3">
      <c r="A969" s="1"/>
      <c r="B969" s="16"/>
      <c r="C969" s="17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2.6" customHeight="1" x14ac:dyDescent="0.3">
      <c r="A970" s="1"/>
      <c r="B970" s="16"/>
      <c r="C970" s="17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2.6" customHeight="1" x14ac:dyDescent="0.3">
      <c r="A971" s="1"/>
      <c r="B971" s="16"/>
      <c r="C971" s="17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2.6" customHeight="1" x14ac:dyDescent="0.3">
      <c r="A972" s="1"/>
      <c r="B972" s="16"/>
      <c r="C972" s="17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2.6" customHeight="1" x14ac:dyDescent="0.3">
      <c r="A973" s="1"/>
      <c r="B973" s="16"/>
      <c r="C973" s="17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2.6" customHeight="1" x14ac:dyDescent="0.3">
      <c r="A974" s="1"/>
      <c r="B974" s="16"/>
      <c r="C974" s="17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2.6" customHeight="1" x14ac:dyDescent="0.3">
      <c r="A975" s="1"/>
      <c r="B975" s="16"/>
      <c r="C975" s="17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2.6" customHeight="1" x14ac:dyDescent="0.3">
      <c r="A976" s="1"/>
      <c r="B976" s="16"/>
      <c r="C976" s="17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2.6" customHeight="1" x14ac:dyDescent="0.3">
      <c r="A977" s="1"/>
      <c r="B977" s="16"/>
      <c r="C977" s="17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2.6" customHeight="1" x14ac:dyDescent="0.3">
      <c r="A978" s="1"/>
      <c r="B978" s="16"/>
      <c r="C978" s="17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2.6" customHeight="1" x14ac:dyDescent="0.3">
      <c r="A979" s="1"/>
      <c r="B979" s="16"/>
      <c r="C979" s="17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2.6" customHeight="1" x14ac:dyDescent="0.3">
      <c r="A980" s="1"/>
      <c r="B980" s="16"/>
      <c r="C980" s="17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2.6" customHeight="1" x14ac:dyDescent="0.3">
      <c r="A981" s="1"/>
      <c r="B981" s="16"/>
      <c r="C981" s="17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2.6" customHeight="1" x14ac:dyDescent="0.3">
      <c r="A982" s="1"/>
      <c r="B982" s="16"/>
      <c r="C982" s="17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2.6" customHeight="1" x14ac:dyDescent="0.3">
      <c r="A983" s="1"/>
      <c r="B983" s="16"/>
      <c r="C983" s="17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2.6" customHeight="1" x14ac:dyDescent="0.3">
      <c r="A984" s="1"/>
      <c r="B984" s="16"/>
      <c r="C984" s="17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2.6" customHeight="1" x14ac:dyDescent="0.3">
      <c r="A985" s="1"/>
      <c r="B985" s="16"/>
      <c r="C985" s="17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2.6" customHeight="1" x14ac:dyDescent="0.3">
      <c r="A986" s="1"/>
      <c r="B986" s="16"/>
      <c r="C986" s="17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2.6" customHeight="1" x14ac:dyDescent="0.3">
      <c r="A987" s="1"/>
      <c r="B987" s="16"/>
      <c r="C987" s="17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2.6" customHeight="1" x14ac:dyDescent="0.3">
      <c r="A988" s="1"/>
      <c r="B988" s="16"/>
      <c r="C988" s="17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2.6" customHeight="1" x14ac:dyDescent="0.3">
      <c r="A989" s="1"/>
      <c r="B989" s="16"/>
      <c r="C989" s="17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2.6" customHeight="1" x14ac:dyDescent="0.3">
      <c r="A990" s="1"/>
      <c r="B990" s="16"/>
      <c r="C990" s="17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2.6" customHeight="1" x14ac:dyDescent="0.3">
      <c r="A991" s="1"/>
      <c r="B991" s="16"/>
      <c r="C991" s="17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2.6" customHeight="1" x14ac:dyDescent="0.3">
      <c r="A992" s="1"/>
      <c r="B992" s="16"/>
      <c r="C992" s="17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2.6" customHeight="1" x14ac:dyDescent="0.3">
      <c r="A993" s="1"/>
      <c r="B993" s="16"/>
      <c r="C993" s="17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2.6" customHeight="1" x14ac:dyDescent="0.3">
      <c r="A994" s="1"/>
      <c r="B994" s="16"/>
      <c r="C994" s="17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2.6" customHeight="1" x14ac:dyDescent="0.3">
      <c r="A995" s="1"/>
      <c r="B995" s="16"/>
      <c r="C995" s="17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2.6" customHeight="1" x14ac:dyDescent="0.3">
      <c r="A996" s="1"/>
      <c r="B996" s="16"/>
      <c r="C996" s="17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2.6" customHeight="1" x14ac:dyDescent="0.3">
      <c r="A997" s="1"/>
      <c r="B997" s="16"/>
      <c r="C997" s="17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2.6" customHeight="1" x14ac:dyDescent="0.3">
      <c r="A998" s="1"/>
      <c r="B998" s="16"/>
      <c r="C998" s="17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2.6" customHeight="1" x14ac:dyDescent="0.3">
      <c r="A999" s="1"/>
      <c r="B999" s="16"/>
      <c r="C999" s="17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2.6" customHeight="1" x14ac:dyDescent="0.3">
      <c r="A1000" s="1"/>
      <c r="B1000" s="16"/>
      <c r="C1000" s="17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7">
    <mergeCell ref="B101:C101"/>
    <mergeCell ref="B1:X1"/>
    <mergeCell ref="B2:C2"/>
    <mergeCell ref="B4:C4"/>
    <mergeCell ref="D4:E4"/>
    <mergeCell ref="G4:H4"/>
    <mergeCell ref="I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Mayberrys Maids House Cleaning</cp:lastModifiedBy>
  <dcterms:modified xsi:type="dcterms:W3CDTF">2026-07-09T20:58:20Z</dcterms:modified>
</cp:coreProperties>
</file>