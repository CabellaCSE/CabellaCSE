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3b34967a1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fc19d8cfbc409d"/>
  </x:sheets>
</x:workbook>
</file>

<file path=xl/sharedStrings.xml><?xml version="1.0" encoding="utf-8"?>
<x:sst xmlns:x="http://schemas.openxmlformats.org/spreadsheetml/2006/main">
  <x:si>
    <x:t xml:space="preserve">Add: 3555 West Reno Ave Suite #G Las Vegas NV 89118</x:t>
  </x:si>
  <x:si>
    <x:t xml:space="preserve">Qty</x:t>
  </x:si>
  <x:si>
    <x:t xml:space="preserve">ITEM</x:t>
  </x:si>
  <x:si>
    <x:t xml:space="preserve">PRODUCT DE SCRIPTION</x:t>
  </x:si>
  <x:si>
    <x:t xml:space="preserve">LDG  -          Lt Grey     Dk Grey  </x:t>
  </x:si>
  <x:si>
    <x:t xml:space="preserve">Amount</x:t>
  </x:si>
  <x:si>
    <x:t xml:space="preserve">Box-
Outside White Inside Clear Wood</x:t>
  </x:si>
  <x:si>
    <x:t xml:space="preserve">DB          -        Blue Shaker</x:t>
  </x:si>
  <x:si>
    <x:t xml:space="preserve">
SW       -     White </x:t>
  </x:si>
  <x:si>
    <x:t xml:space="preserve">BK                -        Black </x:t>
  </x:si>
  <x:si>
    <x:t xml:space="preserve">SLG      -        Light Grey </x:t>
  </x:si>
  <x:si>
    <x:t xml:space="preserve">GN       -    Green </x:t>
  </x:si>
  <x:si>
    <x:t xml:space="preserve">O           -     OAK</x:t>
  </x:si>
  <x:si>
    <x:t xml:space="preserve">AW               -                Antiqule White      CGS               -                Sky Grey </x:t>
  </x:si>
  <x:si>
    <x:t xml:space="preserve">DC               -      Expresso </x:t>
  </x:si>
  <x:si>
    <x:t xml:space="preserve">BASE CABINETS</x:t>
  </x:si>
  <x:si>
    <x:t xml:space="preserve">ALL IN </x:t>
  </x:si>
  <x:si>
    <x:t xml:space="preserve">Box Only</x:t>
  </x:si>
  <x:si>
    <x:t xml:space="preserve">Door Only</x:t>
  </x:si>
  <x:si>
    <x:t xml:space="preserve">Totla</x:t>
  </x:si>
  <x:si>
    <x:t xml:space="preserve">B09F</x:t>
  </x:si>
  <x:si>
    <x:t xml:space="preserve">Base Cabinet - 9"W x 34-1/2"H x 24"D</x:t>
  </x:si>
  <x:si>
    <x:t xml:space="preserve">B09</x:t>
  </x:si>
  <x:si>
    <x:t xml:space="preserve">B12</x:t>
  </x:si>
  <x:si>
    <x:t xml:space="preserve">Base Cabinet - 12"W x 34-1/2"H x 24"D</x:t>
  </x:si>
  <x:si>
    <x:t xml:space="preserve">B15</x:t>
  </x:si>
  <x:si>
    <x:t xml:space="preserve">Base Cabinet - 15"W x 34-1/2"H x 24"D</x:t>
  </x:si>
  <x:si>
    <x:t xml:space="preserve">B18</x:t>
  </x:si>
  <x:si>
    <x:t xml:space="preserve">Base Cabinet - 18"W x 34-1/2"H x 24"D</x:t>
  </x:si>
  <x:si>
    <x:t xml:space="preserve">B21</x:t>
  </x:si>
  <x:si>
    <x:t xml:space="preserve">Base Cabinet - 21"W x 34-1/2"H x 24"D</x:t>
  </x:si>
  <x:si>
    <x:t xml:space="preserve">B24</x:t>
  </x:si>
  <x:si>
    <x:t xml:space="preserve">Base Cabinet - 24"W x 34-1/2"H x 24"D</x:t>
  </x:si>
  <x:si>
    <x:t xml:space="preserve">B27</x:t>
  </x:si>
  <x:si>
    <x:t xml:space="preserve">Base Cabinet - 27"W x 34-1/2"H x 24"D</x:t>
  </x:si>
  <x:si>
    <x:t xml:space="preserve">B30</x:t>
  </x:si>
  <x:si>
    <x:t xml:space="preserve">Base Cabinet - 30"W x 34-1/2"H x 24"D</x:t>
  </x:si>
  <x:si>
    <x:t xml:space="preserve">B33</x:t>
  </x:si>
  <x:si>
    <x:t xml:space="preserve">Base Cabinet - 33"W x 34-1/2"H x 24"D </x:t>
  </x:si>
  <x:si>
    <x:t xml:space="preserve">B36</x:t>
  </x:si>
  <x:si>
    <x:t xml:space="preserve">Base Cabinet - 36"W x 34-1/2"H x 24"D </x:t>
  </x:si>
  <x:si>
    <x:t xml:space="preserve">B39</x:t>
  </x:si>
  <x:si>
    <x:t xml:space="preserve">Base Cabinet - 36"W x 34-1/2"H x 24"D Full High Door</x:t>
  </x:si>
  <x:si>
    <x:t xml:space="preserve">B42</x:t>
  </x:si>
  <x:si>
    <x:t xml:space="preserve">Base Cabinet - 42"W x 34-1/2"H x 24"D </x:t>
  </x:si>
  <x:si>
    <x:t xml:space="preserve">BBC36-39</x:t>
  </x:si>
  <x:si>
    <x:t xml:space="preserve">Blind Base Corner Cabinet - 36-39"W x 34-1/2"H x 24"D </x:t>
  </x:si>
  <x:si>
    <x:t xml:space="preserve">BBC39-42</x:t>
  </x:si>
  <x:si>
    <x:t xml:space="preserve">Blind Base Corner Cabinet - 39-42"W x 34-1/2"H x 24"D </x:t>
  </x:si>
  <x:si>
    <x:t xml:space="preserve">BBC42-45</x:t>
  </x:si>
  <x:si>
    <x:t xml:space="preserve">Blind Base Corner Cabinet - 42-45"W x 34-1/2"H x 24"D</x:t>
  </x:si>
  <x:si>
    <x:t xml:space="preserve">BLS33</x:t>
  </x:si>
  <x:si>
    <x:t xml:space="preserve">Lazy Susan Cabinet - 33"W x 34-1/2"H</x:t>
  </x:si>
  <x:si>
    <x:t xml:space="preserve">BLS36</x:t>
  </x:si>
  <x:si>
    <x:t xml:space="preserve">Lazy Susan Cabinet - 36"W x 34-1/2"H </x:t>
  </x:si>
  <x:si>
    <x:t xml:space="preserve">BPP09 SR</x:t>
  </x:si>
  <x:si>
    <x:t xml:space="preserve">Spice Pull Base Cabinet - 9"W x 34-1/2"H x 24"D </x:t>
  </x:si>
  <x:si>
    <x:t xml:space="preserve">BPP12 SR</x:t>
  </x:si>
  <x:si>
    <x:t xml:space="preserve">Spice Pull Base Cabinet - 12"W x 34-1/2"H x 24"D </x:t>
  </x:si>
  <x:si>
    <x:t xml:space="preserve">BTC15</x:t>
  </x:si>
  <x:si>
    <x:t xml:space="preserve">BTC15 </x:t>
  </x:si>
  <x:si>
    <x:t xml:space="preserve">BTC18</x:t>
  </x:si>
  <x:si>
    <x:t xml:space="preserve">BTC15-HWR</x:t>
  </x:si>
  <x:si>
    <x:t xml:space="preserve">BTC15 Hardware</x:t>
  </x:si>
  <x:si>
    <x:t xml:space="preserve">BTC18-HWR</x:t>
  </x:si>
  <x:si>
    <x:t xml:space="preserve">BTC18Hardware</x:t>
  </x:si>
  <x:si>
    <x:t xml:space="preserve">DB12-3</x:t>
  </x:si>
  <x:si>
    <x:t xml:space="preserve">Drawer Base Cabinet - 12"W x 34-1/2"H x 24"D - 3DRW</x:t>
  </x:si>
  <x:si>
    <x:t xml:space="preserve">DB15-3</x:t>
  </x:si>
  <x:si>
    <x:t xml:space="preserve">Drawer Base Cabinet - 15"W x  34-1/2"H x 24"D - 3DRW</x:t>
  </x:si>
  <x:si>
    <x:t xml:space="preserve">DB18-3</x:t>
  </x:si>
  <x:si>
    <x:t xml:space="preserve">Drawer Base Cabinet - 18"W x  34-1/2"H x 24"D - 3DRW</x:t>
  </x:si>
  <x:si>
    <x:t xml:space="preserve">DB21-3</x:t>
  </x:si>
  <x:si>
    <x:t xml:space="preserve">Drawer Base Cabinet - 21"W x  34-1/2"H x 24"D - 3DRW</x:t>
  </x:si>
  <x:si>
    <x:t xml:space="preserve">DB24-3</x:t>
  </x:si>
  <x:si>
    <x:t xml:space="preserve">Drawer Base Cabinet - 24"W x  34-1/2"H x 24"D - 3DRW</x:t>
  </x:si>
  <x:si>
    <x:t xml:space="preserve">DB24-2</x:t>
  </x:si>
  <x:si>
    <x:t xml:space="preserve">Drawer Base Cabinet - 24"W x  34-1/2"H x 24"D -2DRW</x:t>
  </x:si>
  <x:si>
    <x:t xml:space="preserve">DB27-3</x:t>
  </x:si>
  <x:si>
    <x:t xml:space="preserve">Drawer Base Cabinet - 27"W x  34-1/2"H x 24"D - 3DRW</x:t>
  </x:si>
  <x:si>
    <x:t xml:space="preserve">DB27-2</x:t>
  </x:si>
  <x:si>
    <x:t xml:space="preserve">Drawer Base Cabinet - 27"W x  34-1/2"H x 24"D - 2DRW</x:t>
  </x:si>
  <x:si>
    <x:t xml:space="preserve">DB30-2</x:t>
  </x:si>
  <x:si>
    <x:t xml:space="preserve">Drawer Base Cabinet - 30"W x  34-1/2"H x 24"D - 2DRW</x:t>
  </x:si>
  <x:si>
    <x:t xml:space="preserve">DB30-3</x:t>
  </x:si>
  <x:si>
    <x:t xml:space="preserve">Drawer Base Cabinet - 30"W x  34-1/2"H x 24"D - 3DRW</x:t>
  </x:si>
  <x:si>
    <x:t xml:space="preserve">DB33-3</x:t>
  </x:si>
  <x:si>
    <x:t xml:space="preserve">Drawer Base Cabinet - 33"W x  34-1/2"H x 24"D - 3DRW</x:t>
  </x:si>
  <x:si>
    <x:t xml:space="preserve">DB36-2</x:t>
  </x:si>
  <x:si>
    <x:t xml:space="preserve">Drawer Base Cabinet - 36"W x  34-1/2"H x 24"D - 2DRW</x:t>
  </x:si>
  <x:si>
    <x:t xml:space="preserve">DB36-3</x:t>
  </x:si>
  <x:si>
    <x:t xml:space="preserve">Drawer Base Cabinet - 36"W x  34-1/2"H x 24"D - 3DRW</x:t>
  </x:si>
  <x:si>
    <x:t xml:space="preserve">OC301224</x:t>
  </x:si>
  <x:si>
    <x:t xml:space="preserve">Oven Cabinet 30"W x 12"H x 24"D</x:t>
  </x:si>
  <x:si>
    <x:t xml:space="preserve">OC301824</x:t>
  </x:si>
  <x:si>
    <x:t xml:space="preserve">Oven Cabinet 30"W x 18"H x 24"D</x:t>
  </x:si>
  <x:si>
    <x:t xml:space="preserve">OC302424</x:t>
  </x:si>
  <x:si>
    <x:t xml:space="preserve">Oven Cabinet 30"W x 24"H x 24"D</x:t>
  </x:si>
  <x:si>
    <x:t xml:space="preserve">OC307224</x:t>
  </x:si>
  <x:si>
    <x:t xml:space="preserve">Oven Cabinet 30"W x 72"H x 24"D</x:t>
  </x:si>
  <x:si>
    <x:t xml:space="preserve">OC31DR Drawer Set</x:t>
  </x:si>
  <x:si>
    <x:t xml:space="preserve">Oven Cabinet Drawer Set</x:t>
  </x:si>
  <x:si>
    <x:t xml:space="preserve">OC3084 W</x:t>
  </x:si>
  <x:si>
    <x:t xml:space="preserve">Oven Cabinet 30"W x 84"H x 24"D W</x:t>
  </x:si>
  <x:si>
    <x:t xml:space="preserve">OC3084 B</x:t>
  </x:si>
  <x:si>
    <x:t xml:space="preserve">Oven Cabinet 30"W x 84"H x 24"D B</x:t>
  </x:si>
  <x:si>
    <x:t xml:space="preserve">OC3090 W</x:t>
  </x:si>
  <x:si>
    <x:t xml:space="preserve">Oven Cabinet 30"W x 90"H x 24"D W</x:t>
  </x:si>
  <x:si>
    <x:t xml:space="preserve">OC3090 B</x:t>
  </x:si>
  <x:si>
    <x:t xml:space="preserve">Oven Cabinet 30"W x 90"H x 24"D B</x:t>
  </x:si>
  <x:si>
    <x:t xml:space="preserve">OC3096 W</x:t>
  </x:si>
  <x:si>
    <x:t xml:space="preserve">Oven Cabinet 30"W x 96"H x 24"D W</x:t>
  </x:si>
  <x:si>
    <x:t xml:space="preserve">OC3096 B</x:t>
  </x:si>
  <x:si>
    <x:t xml:space="preserve">Oven Cabinet 30"W x 96"H x 24"D B</x:t>
  </x:si>
  <x:si>
    <x:t xml:space="preserve">OC3384</x:t>
  </x:si>
  <x:si>
    <x:t xml:space="preserve">Oven Cabinet 33"W x 84"H x 24"D</x:t>
  </x:si>
  <x:si>
    <x:t xml:space="preserve">OC3390</x:t>
  </x:si>
  <x:si>
    <x:t xml:space="preserve">Oven Cabinet 33"W x 90"H x 24"D</x:t>
  </x:si>
  <x:si>
    <x:t xml:space="preserve">OC3396</x:t>
  </x:si>
  <x:si>
    <x:t xml:space="preserve">Oven Cabinet 33"W x 96"H x 24"D</x:t>
  </x:si>
  <x:si>
    <x:t xml:space="preserve">PC363624</x:t>
  </x:si>
  <x:si>
    <x:t xml:space="preserve">Pantry Cabinet - 36"W x 36"H x 24"D - 1D, 2S</x:t>
  </x:si>
  <x:si>
    <x:t xml:space="preserve">PC364224</x:t>
  </x:si>
  <x:si>
    <x:t xml:space="preserve">Pantry Cabinet - 36"W x 42"H x 24"D - 1D, 2S</x:t>
  </x:si>
  <x:si>
    <x:t xml:space="preserve">PC365424</x:t>
  </x:si>
  <x:si>
    <x:t xml:space="preserve">Pantry Cabinet - 36"W x 54"H x 24"D - 1D, 2S</x:t>
  </x:si>
  <x:si>
    <x:t xml:space="preserve">PC1884 W</x:t>
  </x:si>
  <x:si>
    <x:t xml:space="preserve">Pantry Cabinet - 18"W x 84"H x 24"D - 1D, 2S W</x:t>
  </x:si>
  <x:si>
    <x:t xml:space="preserve">PC1890 W</x:t>
  </x:si>
  <x:si>
    <x:t xml:space="preserve">Pantry Cabinet - 18"W x 90"H x 24"D - 1D, 2S W</x:t>
  </x:si>
  <x:si>
    <x:t xml:space="preserve">PC1896 W</x:t>
  </x:si>
  <x:si>
    <x:t xml:space="preserve">Pantry Cabinet - 18"W x 96"H x 24"D - 1D, 2S W</x:t>
  </x:si>
  <x:si>
    <x:t xml:space="preserve">PC2484 W</x:t>
  </x:si>
  <x:si>
    <x:t xml:space="preserve">Pantry Cabinet - 24"W x 84"H x 24"D - 1D, 2S W</x:t>
  </x:si>
  <x:si>
    <x:t xml:space="preserve">PC2490 W</x:t>
  </x:si>
  <x:si>
    <x:t xml:space="preserve">Pantry Cabinet - 24"W x 90"H x 24"D - 1D, 2S W</x:t>
  </x:si>
  <x:si>
    <x:t xml:space="preserve">PC2496 W</x:t>
  </x:si>
  <x:si>
    <x:t xml:space="preserve">Pantry Cabinet - 24"W x 96"H x 24"D - 1D, 2S W</x:t>
  </x:si>
  <x:si>
    <x:t xml:space="preserve">PC3084 W</x:t>
  </x:si>
  <x:si>
    <x:t xml:space="preserve">Pantry Cabinet - 30"W x 84"H x 24"D - 1D, 2S W</x:t>
  </x:si>
  <x:si>
    <x:t xml:space="preserve">PC3090 W</x:t>
  </x:si>
  <x:si>
    <x:t xml:space="preserve">Pantry Cabinet - 30"W x 90"H x 24"D - 1D, 2S W</x:t>
  </x:si>
  <x:si>
    <x:t xml:space="preserve">PC3096 W</x:t>
  </x:si>
  <x:si>
    <x:t xml:space="preserve">Pantry Cabinet - 30"W x 96"H x 24"D - 1D, 2S W</x:t>
  </x:si>
  <x:si>
    <x:t xml:space="preserve">PC3684</x:t>
  </x:si>
  <x:si>
    <x:t xml:space="preserve">Pantry Cabinet - 36"W x 84"H x 24"D - 1D, 2S</x:t>
  </x:si>
  <x:si>
    <x:t xml:space="preserve">PC3690</x:t>
  </x:si>
  <x:si>
    <x:t xml:space="preserve">Pantry Cabinet - 36"W x 90"H x 24"D - 1D, 2S</x:t>
  </x:si>
  <x:si>
    <x:t xml:space="preserve">PC3696</x:t>
  </x:si>
  <x:si>
    <x:t xml:space="preserve">Pantry Cabinet - 36"W x 96"H x 24"D - 1D, 2S</x:t>
  </x:si>
  <x:si>
    <x:t xml:space="preserve">SB30</x:t>
  </x:si>
  <x:si>
    <x:t xml:space="preserve">Sink Base - 30"W x 34-1/2"H x 24"D </x:t>
  </x:si>
  <x:si>
    <x:t xml:space="preserve">SB33</x:t>
  </x:si>
  <x:si>
    <x:t xml:space="preserve">Sink Base - 33"W x 34-1/2"H x 24"D </x:t>
  </x:si>
  <x:si>
    <x:t xml:space="preserve">SB36</x:t>
  </x:si>
  <x:si>
    <x:t xml:space="preserve">Sink Base - 36"W x 34-1/2"H x 24"D</x:t>
  </x:si>
  <x:si>
    <x:t xml:space="preserve">SB42</x:t>
  </x:si>
  <x:si>
    <x:t xml:space="preserve">Sink Base - 42"W x 34-1/2"H x 24"D</x:t>
  </x:si>
  <x:si>
    <x:t xml:space="preserve">V2421</x:t>
  </x:si>
  <x:si>
    <x:t xml:space="preserve">Vanity Sink Base Cabinet - 24"W x 34 1/2"H x 21"D </x:t>
  </x:si>
  <x:si>
    <x:t xml:space="preserve">V2721</x:t>
  </x:si>
  <x:si>
    <x:t xml:space="preserve">Vanity Sink Base Cabinet - 27"W x 34 1/2"H x 21"D </x:t>
  </x:si>
  <x:si>
    <x:t xml:space="preserve">V3021</x:t>
  </x:si>
  <x:si>
    <x:t xml:space="preserve">Vanity Sink Base Cabinet - 30"W x 34 1/2"H x 21"D</x:t>
  </x:si>
  <x:si>
    <x:t xml:space="preserve">V3321</x:t>
  </x:si>
  <x:si>
    <x:t xml:space="preserve">Vanity Sink Base Cabinet - 33"W x 34 1/2"H x 21"D</x:t>
  </x:si>
  <x:si>
    <x:t xml:space="preserve">V3621</x:t>
  </x:si>
  <x:si>
    <x:t xml:space="preserve">Vanity Sink Base Cabinet - 36"W x 34 1/2"H x 21"D</x:t>
  </x:si>
  <x:si>
    <x:t xml:space="preserve">V4221</x:t>
  </x:si>
  <x:si>
    <x:t xml:space="preserve">Vanity Sink Base Cabinet - 42"W x 34 1/2"H x 21"D</x:t>
  </x:si>
  <x:si>
    <x:t xml:space="preserve">VKD30</x:t>
  </x:si>
  <x:si>
    <x:t xml:space="preserve">Farm Sink Base 30</x:t>
  </x:si>
  <x:si>
    <x:t xml:space="preserve">VKD36</x:t>
  </x:si>
  <x:si>
    <x:t xml:space="preserve">Farm Sink Base 36</x:t>
  </x:si>
  <x:si>
    <x:t xml:space="preserve">VSD3021L</x:t>
  </x:si>
  <x:si>
    <x:t xml:space="preserve">Vanity Sink Base Cabinet - 30"W x 34 1/2"H x 21"DL</x:t>
  </x:si>
  <x:si>
    <x:t xml:space="preserve">VSD3021R</x:t>
  </x:si>
  <x:si>
    <x:t xml:space="preserve">Vanity Sink Base Cabinet - 30"W x 34 1/2"H x 21"DR</x:t>
  </x:si>
  <x:si>
    <x:t xml:space="preserve">VSD3621L</x:t>
  </x:si>
  <x:si>
    <x:t xml:space="preserve">Vanity Sink Base Cabinet - 36"W x 34 1/2"H x 21"DL</x:t>
  </x:si>
  <x:si>
    <x:t xml:space="preserve">VSD3621R</x:t>
  </x:si>
  <x:si>
    <x:t xml:space="preserve">Vanity Sink Base Cabinet - 36"W x 34 1/2"H x 21"DR</x:t>
  </x:si>
  <x:si>
    <x:t xml:space="preserve">VSD4221L</x:t>
  </x:si>
  <x:si>
    <x:t xml:space="preserve">Vanity Sink Base Cabinet - 42"W x 34 1/2"H x 21"DL</x:t>
  </x:si>
  <x:si>
    <x:t xml:space="preserve">VSD4221R</x:t>
  </x:si>
  <x:si>
    <x:t xml:space="preserve">Vanity Sink Base Cabinet - 42"W x 34 1/2"H x 21"DR</x:t>
  </x:si>
  <x:si>
    <x:t xml:space="preserve">VSD4821</x:t>
  </x:si>
  <x:si>
    <x:t xml:space="preserve">Vanity Sink Base Cabinet - 48"W x 34 1/2"H x 21"D</x:t>
  </x:si>
  <x:si>
    <x:t xml:space="preserve">VSD6021</x:t>
  </x:si>
  <x:si>
    <x:t xml:space="preserve">Vanity Sink Base Cabinet - 60"W x 34 1/2"H x 21"D</x:t>
  </x:si>
  <x:si>
    <x:t xml:space="preserve">VSD6021DD</x:t>
  </x:si>
  <x:si>
    <x:t xml:space="preserve">Vanity Sink Base Cabinet - 60"W x 34 1/2"H x 21"DD</x:t>
  </x:si>
  <x:si>
    <x:t xml:space="preserve">VSD7221DD</x:t>
  </x:si>
  <x:si>
    <x:t xml:space="preserve">Vanity Sink Base Cabinet - 72"W x 34 1/2"H x 21"DD</x:t>
  </x:si>
  <x:si>
    <x:t xml:space="preserve">VDB1221-3</x:t>
  </x:si>
  <x:si>
    <x:t xml:space="preserve">Vanity Drawer Base Cabinet - 12"W x 34 1/2"H x 21"D </x:t>
  </x:si>
  <x:si>
    <x:t xml:space="preserve">VDB1521-3</x:t>
  </x:si>
  <x:si>
    <x:t xml:space="preserve">Vanity Drawer Base Cabinet - 15"W x 34 1/2"H x 21"D</x:t>
  </x:si>
  <x:si>
    <x:t xml:space="preserve">VDB1821-3</x:t>
  </x:si>
  <x:si>
    <x:t xml:space="preserve">Vanity Drawer Base Cabinet - 18"W x 34 1/2"H x 21"D </x:t>
  </x:si>
  <x:si>
    <x:t xml:space="preserve">VDB2121-3</x:t>
  </x:si>
  <x:si>
    <x:t xml:space="preserve">Vanity Drawer Base Cabinet - 21"W x 34 1/2"H x 21"D </x:t>
  </x:si>
  <x:si>
    <x:t xml:space="preserve">VDB2421-3</x:t>
  </x:si>
  <x:si>
    <x:t xml:space="preserve">Vanity Drawer Base Cabinet - 24"W x 34 1/2"H x 21"D</x:t>
  </x:si>
  <x:si>
    <x:t xml:space="preserve">VDB2721-3</x:t>
  </x:si>
  <x:si>
    <x:t xml:space="preserve">Vanity Drawer Base Cabinet - 27"W x 34 1/2"H x 21"D</x:t>
  </x:si>
  <x:si>
    <x:t xml:space="preserve">VDB3021-3</x:t>
  </x:si>
  <x:si>
    <x:t xml:space="preserve">Vanity Drawer Base Cabinet - 30"W x 34 1/2"H x 21"D</x:t>
  </x:si>
  <x:si>
    <x:t xml:space="preserve">WALL CABINETS</x:t>
  </x:si>
  <x:si>
    <x:t xml:space="preserve">W0930</x:t>
  </x:si>
  <x:si>
    <x:t xml:space="preserve">Wall Cabinet - 09"W x 30"H x 12"D </x:t>
  </x:si>
  <x:si>
    <x:t xml:space="preserve">W0936</x:t>
  </x:si>
  <x:si>
    <x:t xml:space="preserve">Wall Cabinet - 09"W x 36"H x 12"D</x:t>
  </x:si>
  <x:si>
    <x:t xml:space="preserve">W0942</x:t>
  </x:si>
  <x:si>
    <x:t xml:space="preserve">Wall Cabinet - 09"W x 42"H x 12"D </x:t>
  </x:si>
  <x:si>
    <x:t xml:space="preserve">W1230</x:t>
  </x:si>
  <x:si>
    <x:t xml:space="preserve">Wall Cabinet - 12"W x 30"H x 12"D </x:t>
  </x:si>
  <x:si>
    <x:t xml:space="preserve">W1236</x:t>
  </x:si>
  <x:si>
    <x:t xml:space="preserve">Wall Cabinet - 12"W x 36"H x 12"D </x:t>
  </x:si>
  <x:si>
    <x:t xml:space="preserve">W1242</x:t>
  </x:si>
  <x:si>
    <x:t xml:space="preserve">Wall Cabinet - 12"W x 42"H x 12"D </x:t>
  </x:si>
  <x:si>
    <x:t xml:space="preserve">W1530</x:t>
  </x:si>
  <x:si>
    <x:t xml:space="preserve">Wall Cabinet - 15"W x 30"H x 12"D </x:t>
  </x:si>
  <x:si>
    <x:t xml:space="preserve">W1536</x:t>
  </x:si>
  <x:si>
    <x:t xml:space="preserve">Wall Cabinet - 15"W x 36"H x 12"D </x:t>
  </x:si>
  <x:si>
    <x:t xml:space="preserve">W1542</x:t>
  </x:si>
  <x:si>
    <x:t xml:space="preserve">Wall Cabinet - 15"W x 42"H x 12"D </x:t>
  </x:si>
  <x:si>
    <x:t xml:space="preserve">W1830</x:t>
  </x:si>
  <x:si>
    <x:t xml:space="preserve">Wall Cabinet - 18"W x 30"H x 12"D </x:t>
  </x:si>
  <x:si>
    <x:t xml:space="preserve">W1836</x:t>
  </x:si>
  <x:si>
    <x:t xml:space="preserve">Wall Cabinet - 18"W x 36"H x 12"D </x:t>
  </x:si>
  <x:si>
    <x:t xml:space="preserve">W1842</x:t>
  </x:si>
  <x:si>
    <x:t xml:space="preserve">Wall Cabinet - 18"W x 42"H x 12"D</x:t>
  </x:si>
  <x:si>
    <x:t xml:space="preserve">W2130</x:t>
  </x:si>
  <x:si>
    <x:t xml:space="preserve">Wall Cabinet - 21"W x 30"H x 12"D</x:t>
  </x:si>
  <x:si>
    <x:t xml:space="preserve">W2136</x:t>
  </x:si>
  <x:si>
    <x:t xml:space="preserve">Wall Cabinet - 21"W x 36"H x 12"D</x:t>
  </x:si>
  <x:si>
    <x:t xml:space="preserve">W2142</x:t>
  </x:si>
  <x:si>
    <x:t xml:space="preserve">Wall Cabinet - 21"W x 42"H x 12"D</x:t>
  </x:si>
  <x:si>
    <x:t xml:space="preserve">W2430</x:t>
  </x:si>
  <x:si>
    <x:t xml:space="preserve">Wall Cabinet - 24"W x 30"H x 12"D </x:t>
  </x:si>
  <x:si>
    <x:t xml:space="preserve">W2436</x:t>
  </x:si>
  <x:si>
    <x:t xml:space="preserve">Wall Cabinet - 24"W x 36"H x 12"D</x:t>
  </x:si>
  <x:si>
    <x:t xml:space="preserve">W2442</x:t>
  </x:si>
  <x:si>
    <x:t xml:space="preserve">Wall Cabinet - 24"W x 42"H x 12"D</x:t>
  </x:si>
  <x:si>
    <x:t xml:space="preserve">W2730</x:t>
  </x:si>
  <x:si>
    <x:t xml:space="preserve">Wall Cabinet - 27"W x 30"H x 12"D</x:t>
  </x:si>
  <x:si>
    <x:t xml:space="preserve">W2736</x:t>
  </x:si>
  <x:si>
    <x:t xml:space="preserve">Wall Cabinet - 27"W x 36"H x 12"D</x:t>
  </x:si>
  <x:si>
    <x:t xml:space="preserve">W2742</x:t>
  </x:si>
  <x:si>
    <x:t xml:space="preserve">Wall Cabinet - 27"W x 42"H x 12"D</x:t>
  </x:si>
  <x:si>
    <x:t xml:space="preserve">W3012</x:t>
  </x:si>
  <x:si>
    <x:t xml:space="preserve">Wall Cabinet - 30"W x 12"H x 12"D </x:t>
  </x:si>
  <x:si>
    <x:t xml:space="preserve">W3015</x:t>
  </x:si>
  <x:si>
    <x:t xml:space="preserve">Wall Cabinet - 30"W x 15"H x 12"D</x:t>
  </x:si>
  <x:si>
    <x:t xml:space="preserve">W3018</x:t>
  </x:si>
  <x:si>
    <x:t xml:space="preserve">Wall Cabinet - 30"W x 18"H x 12"D</x:t>
  </x:si>
  <x:si>
    <x:t xml:space="preserve">W3021</x:t>
  </x:si>
  <x:si>
    <x:t xml:space="preserve">Wall Cabinet - 30"W x 21"H x 12"D</x:t>
  </x:si>
  <x:si>
    <x:t xml:space="preserve">W3024</x:t>
  </x:si>
  <x:si>
    <x:t xml:space="preserve">Wall Cabinet - 30"W x 24"H x 12"D</x:t>
  </x:si>
  <x:si>
    <x:t xml:space="preserve">W3030</x:t>
  </x:si>
  <x:si>
    <x:t xml:space="preserve">Wall Cabinet - 30"W x 30"H x 12"D</x:t>
  </x:si>
  <x:si>
    <x:t xml:space="preserve">W3036</x:t>
  </x:si>
  <x:si>
    <x:t xml:space="preserve">Wall Cabinet - 30"W x 36"H x 12"D</x:t>
  </x:si>
  <x:si>
    <x:t xml:space="preserve">W3042</x:t>
  </x:si>
  <x:si>
    <x:t xml:space="preserve">Wall Cabinet - 30"W x 42"H x 12"D</x:t>
  </x:si>
  <x:si>
    <x:t xml:space="preserve">W3330</x:t>
  </x:si>
  <x:si>
    <x:t xml:space="preserve">Wall Cabinet - 33"W x 30"H x 12"D</x:t>
  </x:si>
  <x:si>
    <x:t xml:space="preserve">W3336</x:t>
  </x:si>
  <x:si>
    <x:t xml:space="preserve">Wall Cabinet - 33"W x 36"H x 12"D</x:t>
  </x:si>
  <x:si>
    <x:t xml:space="preserve">W3342</x:t>
  </x:si>
  <x:si>
    <x:t xml:space="preserve">Wall Cabinet - 33"W x 42"H x 12"D </x:t>
  </x:si>
  <x:si>
    <x:t xml:space="preserve">W361212</x:t>
  </x:si>
  <x:si>
    <x:t xml:space="preserve">W361224</x:t>
  </x:si>
  <x:si>
    <x:t xml:space="preserve">Wall Refrigerator Cabinet - 36"W x 21"H x 24"D</x:t>
  </x:si>
  <x:si>
    <x:t xml:space="preserve">W3615</x:t>
  </x:si>
  <x:si>
    <x:t xml:space="preserve">Wall Cabinet - 36"W x 15"H x 12"D</x:t>
  </x:si>
  <x:si>
    <x:t xml:space="preserve">W361524</x:t>
  </x:si>
  <x:si>
    <x:t xml:space="preserve">Wall Refrigerator Cabinet - 36"W x 15"H x 24"D</x:t>
  </x:si>
  <x:si>
    <x:t xml:space="preserve">W3618</x:t>
  </x:si>
  <x:si>
    <x:t xml:space="preserve">Wall Cabinet - 36"W x 18"H x 12"D</x:t>
  </x:si>
  <x:si>
    <x:t xml:space="preserve">W361824</x:t>
  </x:si>
  <x:si>
    <x:t xml:space="preserve">Wall Refrigerator Cabinet - 36"W x 18"H x 24"D</x:t>
  </x:si>
  <x:si>
    <x:t xml:space="preserve">W3621</x:t>
  </x:si>
  <x:si>
    <x:t xml:space="preserve">Wall Cabinet - 36"W x 21"H x 12"D</x:t>
  </x:si>
  <x:si>
    <x:t xml:space="preserve">W362124</x:t>
  </x:si>
  <x:si>
    <x:t xml:space="preserve">W3624</x:t>
  </x:si>
  <x:si>
    <x:t xml:space="preserve">Wall Cabinet - 36"W x 24"H x 12"D</x:t>
  </x:si>
  <x:si>
    <x:t xml:space="preserve">W362424</x:t>
  </x:si>
  <x:si>
    <x:t xml:space="preserve">Wall Refrigerator Cabinet - 36"W x 24"H x 24"D</x:t>
  </x:si>
  <x:si>
    <x:t xml:space="preserve">W3630</x:t>
  </x:si>
  <x:si>
    <x:t xml:space="preserve">Wall Cabinet - 36"W x 30"H x 12"D</x:t>
  </x:si>
  <x:si>
    <x:t xml:space="preserve">W3636</x:t>
  </x:si>
  <x:si>
    <x:t xml:space="preserve">Wall Cabinet - 36"W x 36"H x 12"D</x:t>
  </x:si>
  <x:si>
    <x:t xml:space="preserve">W3642</x:t>
  </x:si>
  <x:si>
    <x:t xml:space="preserve">Wall Cabinet - 36"W x 42"H x 12"D</x:t>
  </x:si>
  <x:si>
    <x:t xml:space="preserve">WBC2730</x:t>
  </x:si>
  <x:si>
    <x:t xml:space="preserve">Wall Blind Corner Cabinet - 27"W x 30"H x 12"D </x:t>
  </x:si>
  <x:si>
    <x:t xml:space="preserve">WBC2736</x:t>
  </x:si>
  <x:si>
    <x:t xml:space="preserve">Wall Blind Corner Cabinet - 27"W x 36"H x 12"D</x:t>
  </x:si>
  <x:si>
    <x:t xml:space="preserve">WBC2742</x:t>
  </x:si>
  <x:si>
    <x:t xml:space="preserve">Wall Blind Corner Cabinet - 27"W x 42"H x 12"D</x:t>
  </x:si>
  <x:si>
    <x:t xml:space="preserve">WDC2430</x:t>
  </x:si>
  <x:si>
    <x:t xml:space="preserve">Wall Diagonal Corner Cabinet - 24"W x 30"H x 12"D</x:t>
  </x:si>
  <x:si>
    <x:t xml:space="preserve">WDC2436</x:t>
  </x:si>
  <x:si>
    <x:t xml:space="preserve">Wall Diagonal Corner Cabinet -  24"W x 36"H x 12"D </x:t>
  </x:si>
  <x:si>
    <x:t xml:space="preserve">WDC2442</x:t>
  </x:si>
  <x:si>
    <x:t xml:space="preserve">Wall Diagonal Corner Cabinet -  24"W x 42"H x 12"D</x:t>
  </x:si>
  <x:si>
    <x:t xml:space="preserve">WMC2730</x:t>
  </x:si>
  <x:si>
    <x:t xml:space="preserve">Microwave Oven Cabinet  - 27"W x 30"H x 12"D</x:t>
  </x:si>
  <x:si>
    <x:t xml:space="preserve">WMC2736</x:t>
  </x:si>
  <x:si>
    <x:t xml:space="preserve">Microwave Oven Cabinet  - 27"W x 36"H x 12"D</x:t>
  </x:si>
  <x:si>
    <x:t xml:space="preserve">WMC2742</x:t>
  </x:si>
  <x:si>
    <x:t xml:space="preserve">Microwave Oven Cabinet  - 27"W x 42"H x 12"D</x:t>
  </x:si>
  <x:si>
    <x:t xml:space="preserve">WMC303012</x:t>
  </x:si>
  <x:si>
    <x:t xml:space="preserve">Microwave Oven Cabinet  - 30"W x 30"H x 12"D</x:t>
  </x:si>
  <x:si>
    <x:t xml:space="preserve">WMC303612</x:t>
  </x:si>
  <x:si>
    <x:t xml:space="preserve">Microwave Oven Cabinet  - 30"W x 36"H x 12"D</x:t>
  </x:si>
  <x:si>
    <x:t xml:space="preserve">WMC304212</x:t>
  </x:si>
  <x:si>
    <x:t xml:space="preserve">Microwave Oven Cabinet  - 30"W x 42"H x 12"D</x:t>
  </x:si>
  <x:si>
    <x:t xml:space="preserve">WWR3015</x:t>
  </x:si>
  <x:si>
    <x:t xml:space="preserve">WWR3615</x:t>
  </x:si>
  <x:si>
    <x:t xml:space="preserve">GR30</x:t>
  </x:si>
  <x:si>
    <x:t xml:space="preserve">GR36</x:t>
  </x:si>
  <x:si>
    <x:t xml:space="preserve">Wall Wine Rack Cabinet - 30"W x 15"H x 12"D </x:t>
  </x:si>
  <x:si>
    <x:t xml:space="preserve">WWR3018</x:t>
  </x:si>
  <x:si>
    <x:t xml:space="preserve">Wall Wine Rack Cabinet - 30"W x 18"H x 12"D </x:t>
  </x:si>
  <x:si>
    <x:t xml:space="preserve">WES0930</x:t>
  </x:si>
  <x:si>
    <x:t xml:space="preserve">Wall End Shelf - 9"W x 30"H x 12"D</x:t>
  </x:si>
  <x:si>
    <x:t xml:space="preserve">WES0936</x:t>
  </x:si>
  <x:si>
    <x:t xml:space="preserve">Wall End Shelf - 9"W x 36"H x 12"D</x:t>
  </x:si>
  <x:si>
    <x:t xml:space="preserve">WES0942</x:t>
  </x:si>
  <x:si>
    <x:t xml:space="preserve">Wall End Shelf - 9"W x 42"H x 12"D</x:t>
  </x:si>
  <x:si>
    <x:t xml:space="preserve">WF1.5X96</x:t>
  </x:si>
  <x:si>
    <x:t xml:space="preserve">Tall Filler - 1.5"W x 96"H x 3/4"D</x:t>
  </x:si>
  <x:si>
    <x:t xml:space="preserve">BF3</x:t>
  </x:si>
  <x:si>
    <x:t xml:space="preserve">Base Filler - 3"W x 34 1/2"H x 3/4"D</x:t>
  </x:si>
  <x:si>
    <x:t xml:space="preserve">BF6</x:t>
  </x:si>
  <x:si>
    <x:t xml:space="preserve">Base Filler - 6"W x 34 1/2"H x 3/4"D</x:t>
  </x:si>
  <x:si>
    <x:t xml:space="preserve">WF3X30</x:t>
  </x:si>
  <x:si>
    <x:t xml:space="preserve">Wall Filler - 3"W x 30"H x 3/4"D</x:t>
  </x:si>
  <x:si>
    <x:t xml:space="preserve">WF3X36</x:t>
  </x:si>
  <x:si>
    <x:t xml:space="preserve">Wall Filler - 3"W x 36"H x 3/4"D</x:t>
  </x:si>
  <x:si>
    <x:t xml:space="preserve">WF3X42</x:t>
  </x:si>
  <x:si>
    <x:t xml:space="preserve">Wall Filler - 3"W x 42"H x 3/4"D</x:t>
  </x:si>
  <x:si>
    <x:t xml:space="preserve">WF3X96</x:t>
  </x:si>
  <x:si>
    <x:t xml:space="preserve">Tall Filler - 3"W x 96"H x 3/4"D</x:t>
  </x:si>
  <x:si>
    <x:t xml:space="preserve">WF6X36</x:t>
  </x:si>
  <x:si>
    <x:t xml:space="preserve">Wall Filler - 6"W x 36"H x 3/4"D</x:t>
  </x:si>
  <x:si>
    <x:t xml:space="preserve">WF6X42</x:t>
  </x:si>
  <x:si>
    <x:t xml:space="preserve">Wall Filler - 6"W x 42"H x 3/4"D</x:t>
  </x:si>
  <x:si>
    <x:t xml:space="preserve">WF6X96</x:t>
  </x:si>
  <x:si>
    <x:t xml:space="preserve">Tall Filler - 6"W x 96"H x 3/4"D</x:t>
  </x:si>
  <x:si>
    <x:t xml:space="preserve">CM2 Crown Moslding 2-1/8"</x:t>
  </x:si>
  <x:si>
    <x:t xml:space="preserve">Crown  Molding  -2 3/8"W x 96"H x 3/4"D</x:t>
  </x:si>
  <x:si>
    <x:t xml:space="preserve">CMU3</x:t>
  </x:si>
  <x:si>
    <x:t xml:space="preserve">Crown  Molding  -3 17/32"W x 96"H x 3/4"D</x:t>
  </x:si>
  <x:si>
    <x:t xml:space="preserve">CMU4</x:t>
  </x:si>
  <x:si>
    <x:t xml:space="preserve">Crown  Molding  -4 17/32"W x 96"H x 3/4"D</x:t>
  </x:si>
  <x:si>
    <x:t xml:space="preserve">DWPNL24</x:t>
  </x:si>
  <x:si>
    <x:t xml:space="preserve">Dishwasher  Panel 24"W X 34-1/2"H X 1/2"D </x:t>
  </x:si>
  <x:si>
    <x:t xml:space="preserve">PNL1230</x:t>
  </x:si>
  <x:si>
    <x:t xml:space="preserve">Wall Skin Panel 12" x 30"</x:t>
  </x:si>
  <x:si>
    <x:t xml:space="preserve">PNL1236</x:t>
  </x:si>
  <x:si>
    <x:t xml:space="preserve">Wall Skin Panel 12" x 36"</x:t>
  </x:si>
  <x:si>
    <x:t xml:space="preserve">PNL1242</x:t>
  </x:si>
  <x:si>
    <x:t xml:space="preserve">Wall Skin Panel 12" x 42"</x:t>
  </x:si>
  <x:si>
    <x:t xml:space="preserve">PNL25.5X34.5X0.75(Island Base Panel)</x:t>
  </x:si>
  <x:si>
    <x:t xml:space="preserve">Base Skin Panel 24" x 34.5"/BEP26</x:t>
  </x:si>
  <x:si>
    <x:t xml:space="preserve">RPNL9624 1/2</x:t>
  </x:si>
  <x:si>
    <x:t xml:space="preserve">Refrigerator End Panel Veneer - 24"W x 96"H x1 1/2"D</x:t>
  </x:si>
  <x:si>
    <x:t xml:space="preserve">FD1230</x:t>
  </x:si>
  <x:si>
    <x:t xml:space="preserve">Fake Door 12" x 30"</x:t>
  </x:si>
  <x:si>
    <x:t xml:space="preserve">FD1236</x:t>
  </x:si>
  <x:si>
    <x:t xml:space="preserve">Fake Door 12" x 36"</x:t>
  </x:si>
  <x:si>
    <x:t xml:space="preserve">FD1242</x:t>
  </x:si>
  <x:si>
    <x:t xml:space="preserve">Fake Door 12" x 42"</x:t>
  </x:si>
  <x:si>
    <x:t xml:space="preserve">FD2430</x:t>
  </x:si>
  <x:si>
    <x:t xml:space="preserve">Fake Door 24" x 30"</x:t>
  </x:si>
  <x:si>
    <x:t xml:space="preserve">IPNL9636-3/4 (Island Panel)</x:t>
  </x:si>
  <x:si>
    <x:t xml:space="preserve">Island Panel 96 x 34.5x 1/4 </x:t>
  </x:si>
  <x:si>
    <x:t xml:space="preserve"> LM1.5 Light Rail Molding 1.5"</x:t>
  </x:si>
  <x:si>
    <x:t xml:space="preserve">Light Rail Moulding - 1.5" x 96" </x:t>
  </x:si>
  <x:si>
    <x:t xml:space="preserve">PNL9648-1/4</x:t>
  </x:si>
  <x:si>
    <x:t xml:space="preserve">PNL9624-1/4 (Pantry Skin)</x:t>
  </x:si>
  <x:si>
    <x:t xml:space="preserve">Pantry Skin Panel 96 x 24x 1/4 </x:t>
  </x:si>
  <x:si>
    <x:t xml:space="preserve">PNL9636-1/4 (Pantry Skin)</x:t>
  </x:si>
  <x:si>
    <x:t xml:space="preserve">Pantry Skin Panel 96 x 34.5x 1/4</x:t>
  </x:si>
  <x:si>
    <x:t xml:space="preserve">OCM8</x:t>
  </x:si>
  <x:si>
    <x:t xml:space="preserve">Outside Corner Molding - 3/4"W x 96"H x 3/4"D</x:t>
  </x:si>
  <x:si>
    <x:t xml:space="preserve">TK8</x:t>
  </x:si>
  <x:si>
    <x:t xml:space="preserve">Toe Kick 8' Plywood - 96"W x 4 1/2"H x 1/8"D </x:t>
  </x:si>
  <x:si>
    <x:t xml:space="preserve">SM8</x:t>
  </x:si>
  <x:si>
    <x:t xml:space="preserve">Scribe Molding - 3/4"W x 96"H x 1/4"D</x:t>
  </x:si>
  <x:si>
    <x:t xml:space="preserve">ROT15</x:t>
  </x:si>
  <x:si>
    <x:t xml:space="preserve">Roll Out Tray - Fits B15</x:t>
  </x:si>
  <x:si>
    <x:t xml:space="preserve">ROT18</x:t>
  </x:si>
  <x:si>
    <x:t xml:space="preserve">Roll Out Tray - Fits B18</x:t>
  </x:si>
  <x:si>
    <x:t xml:space="preserve">ROT21</x:t>
  </x:si>
  <x:si>
    <x:t xml:space="preserve">Roll Out Tray - Fits B21</x:t>
  </x:si>
  <x:si>
    <x:t xml:space="preserve">ROT24</x:t>
  </x:si>
  <x:si>
    <x:t xml:space="preserve">Roll Out Tray - Fits B24</x:t>
  </x:si>
  <x:si>
    <x:t xml:space="preserve">ROT27</x:t>
  </x:si>
  <x:si>
    <x:t xml:space="preserve">Roll Out Tray - Fits B27</x:t>
  </x:si>
  <x:si>
    <x:t xml:space="preserve">ROT30</x:t>
  </x:si>
  <x:si>
    <x:t xml:space="preserve">Roll Out Tray - Fits B30</x:t>
  </x:si>
  <x:si>
    <x:t xml:space="preserve">ROT33</x:t>
  </x:si>
  <x:si>
    <x:t xml:space="preserve">Roll Out Tray - Fits B33</x:t>
  </x:si>
  <x:si>
    <x:t xml:space="preserve">ROT36</x:t>
  </x:si>
  <x:si>
    <x:t xml:space="preserve">Roll Out Tray - Fits B36</x:t>
  </x:si>
</x:sst>
</file>

<file path=xl/styles.xml><?xml version="1.0" encoding="utf-8"?>
<x:styleSheet xmlns:x="http://schemas.openxmlformats.org/spreadsheetml/2006/main">
  <x:numFmts count="2">
    <x:numFmt numFmtId="164" formatCode="_ * #,##0.00_ ;_ * \-#,##0.00_ ;_ * &quot;-&quot;??_ ;_ @_ "/>
    <x:numFmt numFmtId="165" formatCode="_(* #,##0.00_);_(* \(#,##0.00\);_(* &quot;-&quot;??_);_(@_)"/>
  </x:numFmts>
  <x:fonts count="16">
    <x:font>
      <x:sz val="11"/>
      <x:color theme="1"/>
      <x:name val="Calibri"/>
    </x:font>
    <x:font>
      <x:sz val="11"/>
      <x:color theme="1"/>
      <x:name val="Calibri"/>
    </x:font>
    <x:font>
      <x:b/>
      <x:sz val="20"/>
      <x:color theme="1"/>
      <x:name val="Arial"/>
    </x:font>
    <x:font>
      <x:b/>
      <x:sz val="14"/>
      <x:color theme="1"/>
      <x:name val="Calibri"/>
    </x:font>
    <x:font>
      <x:b/>
      <x:sz val="14"/>
      <x:color theme="1"/>
      <x:name val="Arial"/>
    </x:font>
    <x:font/>
    <x:font>
      <x:b/>
      <x:sz val="12"/>
      <x:color theme="1"/>
      <x:name val="Arial"/>
    </x:font>
    <x:font>
      <x:sz val="14"/>
      <x:color theme="1"/>
      <x:name val="Calibri"/>
    </x:font>
    <x:font>
      <x:b/>
      <x:sz val="10"/>
      <x:color theme="1"/>
      <x:name val="Arial"/>
    </x:font>
    <x:font>
      <x:b/>
      <x:sz val="14"/>
      <x:color theme="0"/>
      <x:name val="Arial"/>
    </x:font>
    <x:font>
      <x:b/>
      <x:sz val="9"/>
      <x:color theme="1"/>
      <x:name val="Calibri"/>
    </x:font>
    <x:font>
      <x:b/>
      <x:sz val="16"/>
      <x:color theme="1"/>
      <x:name val="Calibri"/>
    </x:font>
    <x:font>
      <x:b/>
      <x:sz val="14"/>
      <x:color rgb="FFC00000"/>
      <x:name val="Calibri"/>
    </x:font>
    <x:font>
      <x:sz val="9"/>
      <x:color theme="1"/>
      <x:name val="Calibri"/>
    </x:font>
    <x:font>
      <x:sz val="8"/>
      <x:color theme="1"/>
      <x:name val="Arial"/>
    </x:font>
    <x:font>
      <x:sz val="11"/>
      <x:color theme="1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8EAADB"/>
      </x:patternFill>
    </x:fill>
    <x:fill>
      <x:patternFill patternType="solid">
        <x:fgColor rgb="FFA8D08D"/>
      </x:patternFill>
    </x:fill>
    <x:fill>
      <x:patternFill patternType="solid">
        <x:fgColor rgb="FFE7E6E6"/>
      </x:patternFill>
    </x:fill>
    <x:fill>
      <x:patternFill patternType="solid">
        <x:fgColor rgb="FFF7CAAC"/>
      </x:patternFill>
    </x:fill>
  </x:fills>
  <x:borders count="6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00">
    <x:xf numFmtId="0" fontId="0" fillId="0" borderId="0" xfId="0" applyFont="1" applyAlignment="1">
      <x:alignment vertical="bottom" wrapText="0"/>
    </x:xf>
    <x:xf numFmtId="0" fontId="1" fillId="0" borderId="0" xfId="0" applyFont="1"/>
    <x:xf numFmtId="49" fontId="2" fillId="0" borderId="0" xfId="0" applyNumberFormat="1" applyFont="1" applyAlignment="1">
      <x:alignment horizontal="center" vertical="top"/>
    </x:xf>
    <x:xf numFmtId="49" fontId="2" fillId="0" borderId="0" xfId="0" applyNumberFormat="1" applyFont="1" applyAlignment="1">
      <x:alignment horizontal="center" vertical="top"/>
    </x:xf>
    <x:xf numFmtId="0" fontId="3" fillId="0" borderId="0" xfId="0" applyFont="1" applyAlignment="1">
      <x:alignment wrapText="1"/>
    </x:xf>
    <x:xf numFmtId="49" fontId="4" fillId="0" borderId="0" xfId="0" applyNumberFormat="1" applyFont="1" applyAlignment="1">
      <x:alignment vertical="center"/>
    </x:xf>
    <x:xf numFmtId="49" fontId="4" fillId="0" borderId="1" xfId="0" applyNumberFormat="1" applyFont="1" applyBorder="1" applyAlignment="1">
      <x:alignment horizontal="right" vertical="center"/>
    </x:xf>
    <x:xf numFmtId="0" fontId="5" fillId="0" borderId="1" xfId="0" applyFont="1" applyBorder="1"/>
    <x:xf numFmtId="164" fontId="6" fillId="0" borderId="1" xfId="0" applyNumberFormat="1" applyFont="1" applyBorder="1" applyAlignment="1">
      <x:alignment vertical="top"/>
    </x:xf>
    <x:xf numFmtId="164" fontId="6" fillId="0" borderId="0" xfId="0" applyNumberFormat="1" applyFont="1" applyAlignment="1">
      <x:alignment vertical="top"/>
    </x:xf>
    <x:xf numFmtId="0" fontId="7" fillId="0" borderId="0" xfId="0" applyFont="1"/>
    <x:xf numFmtId="0" fontId="4" fillId="0" borderId="2" xfId="0" applyFont="1" applyBorder="1" applyAlignment="1">
      <x:alignment horizontal="center" vertical="center"/>
    </x:xf>
    <x:xf numFmtId="49" fontId="8" fillId="2" borderId="2" xfId="0" applyNumberFormat="1" applyFont="1" applyFill="1" applyBorder="1" applyAlignment="1">
      <x:alignment horizontal="center" vertical="center"/>
    </x:xf>
    <x:xf numFmtId="164" fontId="8" fillId="2" borderId="2" xfId="0" applyNumberFormat="1" applyFont="1" applyBorder="1" applyAlignment="1">
      <x:alignment horizontal="center" vertical="center" wrapText="1"/>
    </x:xf>
    <x:xf numFmtId="164" fontId="8" fillId="3" borderId="2" xfId="0" applyNumberFormat="1" applyFont="1" applyFill="1" applyBorder="1" applyAlignment="1">
      <x:alignment horizontal="center" vertical="center" wrapText="1"/>
    </x:xf>
    <x:xf numFmtId="164" fontId="9" fillId="3" borderId="2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vertical="center"/>
    </x:xf>
    <x:xf numFmtId="49" fontId="10" fillId="2" borderId="3" xfId="0" applyNumberFormat="1" applyFont="1" applyBorder="1" applyAlignment="1">
      <x:alignment horizontal="center" vertical="center"/>
    </x:xf>
    <x:xf numFmtId="0" fontId="5" fillId="0" borderId="4" xfId="0" applyFont="1" applyBorder="1"/>
    <x:xf numFmtId="0" fontId="10" fillId="3" borderId="3" xfId="0" applyFont="1" applyBorder="1" applyAlignment="1">
      <x:alignment horizontal="center" vertical="center"/>
    </x:xf>
    <x:xf numFmtId="0" fontId="10" fillId="3" borderId="2" xfId="0" applyFont="1" applyBorder="1" applyAlignment="1">
      <x:alignment horizontal="center" vertical="center"/>
    </x:xf>
    <x:xf numFmtId="164" fontId="10" fillId="3" borderId="3" xfId="0" applyNumberFormat="1" applyFont="1" applyBorder="1" applyAlignment="1">
      <x:alignment horizontal="center" vertical="center"/>
    </x:xf>
    <x:xf numFmtId="0" fontId="5" fillId="0" borderId="5" xfId="0" applyFont="1" applyBorder="1"/>
    <x:xf numFmtId="0" fontId="11" fillId="4" borderId="2" xfId="0" applyFont="1" applyFill="1" applyBorder="1" applyAlignment="1">
      <x:alignment vertical="center"/>
    </x:xf>
    <x:xf numFmtId="49" fontId="10" fillId="2" borderId="2" xfId="0" applyNumberFormat="1" applyFont="1" applyBorder="1" applyAlignment="1">
      <x:alignment horizontal="center" vertical="center"/>
    </x:xf>
    <x:xf numFmtId="164" fontId="12" fillId="3" borderId="2" xfId="0" applyNumberFormat="1" applyFont="1" applyBorder="1" applyAlignment="1">
      <x:alignment horizontal="center" vertical="center"/>
    </x:xf>
    <x:xf numFmtId="0" fontId="1" fillId="5" borderId="2" xfId="0" applyFont="1" applyFill="1" applyBorder="1"/>
    <x:xf numFmtId="164" fontId="13" fillId="0" borderId="2" xfId="0" applyNumberFormat="1" applyFont="1" applyBorder="1" applyAlignment="1">
      <x:alignment horizontal="left" vertical="center"/>
    </x:xf>
    <x:xf numFmtId="164" fontId="13" fillId="0" borderId="2" xfId="0" applyNumberFormat="1" applyFont="1" applyBorder="1" applyAlignment="1">
      <x:alignment horizontal="center" vertical="center"/>
    </x:xf>
    <x:xf numFmtId="165" fontId="10" fillId="0" borderId="2" xfId="0" applyNumberFormat="1" applyFont="1" applyBorder="1" applyAlignment="1">
      <x:alignment vertical="center"/>
    </x:xf>
    <x:xf numFmtId="164" fontId="1" fillId="0" borderId="2" xfId="0" applyNumberFormat="1" applyFont="1" applyBorder="1"/>
    <x:xf numFmtId="0" fontId="1" fillId="0" borderId="2" xfId="0" applyFont="1" applyBorder="1"/>
    <x:xf numFmtId="164" fontId="10" fillId="2" borderId="3" xfId="0" applyNumberFormat="1" applyFont="1" applyBorder="1" applyAlignment="1">
      <x:alignment horizontal="center" vertical="center"/>
    </x:xf>
    <x:xf numFmtId="164" fontId="10" fillId="2" borderId="2" xfId="0" applyNumberFormat="1" applyFont="1" applyBorder="1" applyAlignment="1">
      <x:alignment vertical="center"/>
    </x:xf>
    <x:xf numFmtId="164" fontId="13" fillId="2" borderId="2" xfId="0" applyNumberFormat="1" applyFont="1" applyBorder="1" applyAlignment="1">
      <x:alignment horizontal="center" vertical="center"/>
    </x:xf>
    <x:xf numFmtId="165" fontId="10" fillId="2" borderId="2" xfId="0" applyNumberFormat="1" applyFont="1" applyBorder="1" applyAlignment="1">
      <x:alignment vertical="center"/>
    </x:xf>
    <x:xf numFmtId="164" fontId="13" fillId="2" borderId="2" xfId="0" applyNumberFormat="1" applyFont="1" applyBorder="1" applyAlignment="1">
      <x:alignment vertical="center"/>
    </x:xf>
    <x:xf numFmtId="49" fontId="14" fillId="0" borderId="0" xfId="0" applyNumberFormat="1" applyFont="1" applyAlignment="1">
      <x:alignment horizontal="left"/>
    </x:xf>
    <x:xf numFmtId="49" fontId="15" fillId="0" borderId="0" xfId="0" applyNumberFormat="1" applyFont="1" applyAlignment="1">
      <x:alignment horizontal="left" vertical="center"/>
    </x:xf>
    <x:xf numFmtId="164" fontId="1" fillId="0" borderId="0" xfId="0" applyNumberFormat="1" applyFont="1"/>
    <x:xf numFmtId="164" fontId="1" fillId="0" borderId="0" xfId="0" applyNumberFormat="1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/>
    <x:xf numFmtId="49" fontId="2" fillId="0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wrapText="1"/>
    </x:xf>
    <x:xf numFmtId="49" fontId="4" fillId="0" borderId="0" xfId="0" applyNumberFormat="1" applyFont="1" applyFill="1" applyBorder="1" applyAlignment="1">
      <x:alignment vertical="center"/>
    </x:xf>
    <x:xf numFmtId="49" fontId="4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/>
    <x:xf numFmtId="164" fontId="6" fillId="0" borderId="1" xfId="0" applyNumberFormat="1" applyFont="1" applyFill="1" applyBorder="1" applyAlignment="1">
      <x:alignment vertical="top"/>
    </x:xf>
    <x:xf numFmtId="164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4" fillId="0" borderId="2" xfId="0" applyNumberFormat="1" applyFont="1" applyFill="1" applyBorder="1" applyAlignment="1">
      <x:alignment horizontal="center" vertical="center"/>
    </x:xf>
    <x:xf numFmtId="164" fontId="8" fillId="2" borderId="2" xfId="0" applyNumberFormat="1" applyFont="1" applyFill="1" applyBorder="1" applyAlignment="1">
      <x:alignment horizontal="center" vertical="center" wrapText="1"/>
    </x:xf>
    <x:xf numFmtId="164" fontId="9" fillId="3" borderId="2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center"/>
    </x:xf>
    <x:xf numFmtId="49" fontId="10" fillId="2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0" fontId="10" fillId="3" borderId="3" xfId="0" applyNumberFormat="1" applyFont="1" applyFill="1" applyBorder="1" applyAlignment="1">
      <x:alignment horizontal="center" vertical="center"/>
    </x:xf>
    <x:xf numFmtId="0" fontId="10" fillId="3" borderId="2" xfId="0" applyNumberFormat="1" applyFont="1" applyFill="1" applyBorder="1" applyAlignment="1">
      <x:alignment horizontal="center" vertical="center"/>
    </x:xf>
    <x:xf numFmtId="164" fontId="10" fillId="3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/>
    <x:xf numFmtId="0" fontId="11" fillId="4" borderId="2" xfId="0" applyNumberFormat="1" applyFont="1" applyFill="1" applyBorder="1" applyAlignment="1">
      <x:alignment vertical="center"/>
    </x:xf>
    <x:xf numFmtId="49" fontId="10" fillId="2" borderId="2" xfId="0" applyNumberFormat="1" applyFont="1" applyFill="1" applyBorder="1" applyAlignment="1">
      <x:alignment horizontal="center" vertical="center"/>
    </x:xf>
    <x:xf numFmtId="164" fontId="12" fillId="3" borderId="2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164" fontId="13" fillId="0" borderId="2" xfId="0" applyNumberFormat="1" applyFont="1" applyFill="1" applyBorder="1" applyAlignment="1">
      <x:alignment horizontal="left" vertical="center"/>
    </x:xf>
    <x:xf numFmtId="164" fontId="13" fillId="0" borderId="2" xfId="0" applyNumberFormat="1" applyFont="1" applyFill="1" applyBorder="1" applyAlignment="1">
      <x:alignment horizontal="center" vertical="center"/>
    </x:xf>
    <x:xf numFmtId="165" fontId="10" fillId="0" borderId="2" xfId="0" applyNumberFormat="1" applyFont="1" applyFill="1" applyBorder="1" applyAlignment="1">
      <x:alignment vertical="center"/>
    </x:xf>
    <x:xf numFmtId="164" fontId="0" fillId="0" borderId="2" xfId="0" applyNumberFormat="1" applyFont="1" applyFill="1" applyBorder="1"/>
    <x:xf numFmtId="0" fontId="0" fillId="0" borderId="2" xfId="0" applyNumberFormat="1" applyFont="1" applyFill="1" applyBorder="1"/>
    <x:xf numFmtId="164" fontId="10" fillId="2" borderId="3" xfId="0" applyNumberFormat="1" applyFont="1" applyFill="1" applyBorder="1" applyAlignment="1">
      <x:alignment horizontal="center" vertical="center"/>
    </x:xf>
    <x:xf numFmtId="164" fontId="10" fillId="2" borderId="2" xfId="0" applyNumberFormat="1" applyFont="1" applyFill="1" applyBorder="1" applyAlignment="1">
      <x:alignment vertical="center"/>
    </x:xf>
    <x:xf numFmtId="164" fontId="13" fillId="2" borderId="2" xfId="0" applyNumberFormat="1" applyFont="1" applyFill="1" applyBorder="1" applyAlignment="1">
      <x:alignment horizontal="center" vertical="center"/>
    </x:xf>
    <x:xf numFmtId="165" fontId="10" fillId="2" borderId="2" xfId="0" applyNumberFormat="1" applyFont="1" applyFill="1" applyBorder="1" applyAlignment="1">
      <x:alignment vertical="center"/>
    </x:xf>
    <x:xf numFmtId="164" fontId="13" fillId="2" borderId="2" xfId="0" applyNumberFormat="1" applyFont="1" applyFill="1" applyBorder="1" applyAlignment="1">
      <x:alignment vertical="center"/>
    </x:xf>
    <x:xf numFmtId="49" fontId="14" fillId="0" borderId="0" xfId="0" applyNumberFormat="1" applyFont="1" applyFill="1" applyBorder="1" applyAlignment="1">
      <x:alignment horizontal="left"/>
    </x:xf>
    <x:xf numFmtId="49" fontId="15" fillId="0" borderId="0" xfId="0" applyNumberFormat="1" applyFont="1" applyFill="1" applyBorder="1" applyAlignment="1">
      <x:alignment horizontal="left" vertical="center"/>
    </x:xf>
    <x:xf numFmtId="164" fontId="0" fillId="0" borderId="0" xfId="0" applyNumberFormat="1" applyFont="1" applyFill="1" applyBorder="1"/>
    <x:xf numFmtId="164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49" fontId="4" fillId="0" borderId="0" xfId="0" applyNumberFormat="1" applyFont="1" applyFill="1" applyBorder="1" applyAlignment="1">
      <x:alignment vertical="center" wrapText="1"/>
    </x:xf>
    <x:xf numFmtId="49" fontId="4" fillId="0" borderId="1" xfId="0" applyNumberFormat="1" applyFont="1" applyFill="1" applyBorder="1" applyAlignment="1">
      <x:alignment horizontal="right" vertical="center" wrapText="1"/>
    </x:xf>
    <x:xf numFmtId="0" fontId="5" fillId="0" borderId="1" xfId="0" applyNumberFormat="1" applyFont="1" applyFill="1" applyBorder="1" applyAlignment="1">
      <x:alignment wrapText="1"/>
    </x:xf>
    <x:xf numFmtId="164" fontId="6" fillId="0" borderId="1" xfId="0" applyNumberFormat="1" applyFont="1" applyFill="1" applyBorder="1" applyAlignment="1">
      <x:alignment vertical="top" wrapText="1"/>
    </x:xf>
    <x:xf numFmtId="164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49" fontId="8" fillId="2" borderId="2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49" fontId="10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164" fontId="10" fillId="3" borderId="3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wrapText="1"/>
    </x:xf>
    <x:xf numFmtId="0" fontId="11" fillId="4" borderId="2" xfId="0" applyNumberFormat="1" applyFont="1" applyFill="1" applyBorder="1" applyAlignment="1">
      <x:alignment vertical="center" wrapText="1"/>
    </x:xf>
    <x:xf numFmtId="49" fontId="10" fillId="2" borderId="2" xfId="0" applyNumberFormat="1" applyFont="1" applyFill="1" applyBorder="1" applyAlignment="1">
      <x:alignment horizontal="center" vertical="center" wrapText="1"/>
    </x:xf>
    <x:xf numFmtId="164" fontId="1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2335d883f4947" /><Relationship Type="http://schemas.openxmlformats.org/officeDocument/2006/relationships/theme" Target="/xl/theme/theme1.xml" Id="R20ae93f18fef4979" /><Relationship Type="http://schemas.openxmlformats.org/officeDocument/2006/relationships/sharedStrings" Target="/xl/sharedStrings.xml" Id="R48d0c4c3c4754f01" /><Relationship Type="http://schemas.openxmlformats.org/officeDocument/2006/relationships/worksheet" Target="/xl/worksheets/sheet1.xml" Id="R69fc19d8cfbc409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860000133514404" customWidth="1"/>
    <x:col min="2" max="2" width="16" hidden="0" customWidth="1"/>
    <x:col min="3" max="3" width="38" hidden="0" customWidth="1"/>
    <x:col min="4" max="5" width="8.140000343322754" customWidth="1"/>
    <x:col min="6" max="6" width="12" hidden="0" customWidth="1"/>
    <x:col min="7" max="8" width="12.289999961853027" customWidth="1"/>
    <x:col min="9" max="10" width="7.429999828338623" customWidth="1"/>
    <x:col min="11" max="11" width="12" hidden="0" customWidth="1"/>
    <x:col min="12" max="13" width="6.860000133514404" customWidth="1"/>
    <x:col min="14" max="14" width="12" hidden="0" customWidth="1"/>
    <x:col min="15" max="16" width="6.860000133514404" customWidth="1"/>
    <x:col min="17" max="17" width="12" hidden="0" customWidth="1"/>
    <x:col min="18" max="19" width="7" customWidth="1"/>
    <x:col min="20" max="20" width="12" hidden="0" customWidth="1"/>
    <x:col min="21" max="22" width="6.860000133514404" customWidth="1"/>
    <x:col min="23" max="23" width="12" hidden="0" customWidth="1"/>
    <x:col min="24" max="25" width="6.860000133514404" customWidth="1"/>
    <x:col min="26" max="26" width="12" hidden="0" customWidth="1"/>
    <x:col min="27" max="28" width="9.710000038146973" customWidth="1"/>
    <x:col min="29" max="29" width="12" hidden="0" customWidth="1"/>
    <x:col min="30" max="31" width="10.140000343322754" customWidth="1"/>
    <x:col min="32" max="32" width="12" hidden="0" customWidth="1"/>
    <x:col min="4" max="4" width="12" hidden="0" customWidth="1"/>
    <x:col min="5" max="5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2" max="12" width="12" hidden="0" customWidth="1"/>
    <x:col min="13" max="13" width="12" hidden="0" customWidth="1"/>
    <x:col min="15" max="15" width="12" hidden="0" customWidth="1"/>
    <x:col min="16" max="16" width="12" hidden="0" customWidth="1"/>
    <x:col min="18" max="18" width="12" hidden="0" customWidth="1"/>
    <x:col min="19" max="19" width="12" hidden="0" customWidth="1"/>
    <x:col min="21" max="21" width="12" hidden="0" customWidth="1"/>
    <x:col min="22" max="22" width="12" hidden="0" customWidth="1"/>
    <x:col min="24" max="24" width="12" hidden="0" customWidth="1"/>
    <x:col min="25" max="25" width="12" hidden="0" customWidth="1"/>
    <x:col min="27" max="27" width="12" hidden="0" customWidth="1"/>
    <x:col min="28" max="28" width="12" hidden="0" customWidth="1"/>
    <x:col min="30" max="30" width="12" hidden="0" customWidth="1"/>
    <x:col min="31" max="31" width="12" hidden="0" customWidth="1"/>
  </x:cols>
  <x:sheetData>
    <x:row r="1" ht="26.25" customHeight="1">
      <x:c r="A1" s="79"/>
      <x:c r="B1" s="80" t="str">
        <x:v>Cabella Cabinets Price List - Plus</x:v>
      </x:c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0"/>
      <x:c r="Z1" s="80"/>
      <x:c r="AA1" s="80"/>
      <x:c r="AB1" s="80"/>
      <x:c r="AC1" s="80"/>
      <x:c r="AD1" s="44"/>
      <x:c r="AE1" s="79"/>
      <x:c r="AF1" s="79"/>
    </x:row>
    <x:row r="2">
      <x:c r="A2" s="82"/>
      <x:c r="B2" s="83" t="s">
        <x:v>0</x:v>
      </x:c>
      <x:c r="C2" s="84"/>
      <x:c r="D2" s="85"/>
      <x:c r="E2" s="85"/>
      <x:c r="F2" s="85"/>
      <x:c r="G2" s="85"/>
      <x:c r="H2" s="86"/>
      <x:c r="I2" s="87"/>
      <x:c r="J2" s="87"/>
      <x:c r="K2" s="87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6"/>
      <x:c r="Z2" s="86"/>
      <x:c r="AA2" s="86"/>
      <x:c r="AB2" s="86"/>
      <x:c r="AC2" s="86"/>
      <x:c r="AD2" s="79"/>
      <x:c r="AE2" s="87"/>
      <x:c r="AF2" s="87"/>
    </x:row>
    <x:row r="3">
      <x:c r="A3" s="88" t="s">
        <x:v>1</x:v>
      </x:c>
      <x:c r="B3" s="89" t="s">
        <x:v>2</x:v>
      </x:c>
      <x:c r="C3" s="52" t="s">
        <x:v>3</x:v>
      </x:c>
      <x:c r="D3" s="14" t="s">
        <x:v>4</x:v>
      </x:c>
      <x:c r="E3" s="14" t="s">
        <x:v>4</x:v>
      </x:c>
      <x:c r="F3" s="53" t="s">
        <x:v>5</x:v>
      </x:c>
      <x:c r="G3" s="14" t="s">
        <x:v>6</x:v>
      </x:c>
      <x:c r="H3" s="14" t="s">
        <x:v>6</x:v>
      </x:c>
      <x:c r="I3" s="14" t="s">
        <x:v>7</x:v>
      </x:c>
      <x:c r="J3" s="14" t="s">
        <x:v>7</x:v>
      </x:c>
      <x:c r="K3" s="53" t="s">
        <x:v>5</x:v>
      </x:c>
      <x:c r="L3" s="14" t="s">
        <x:v>8</x:v>
      </x:c>
      <x:c r="M3" s="14" t="s">
        <x:v>8</x:v>
      </x:c>
      <x:c r="N3" s="53" t="s">
        <x:v>5</x:v>
      </x:c>
      <x:c r="O3" s="14" t="s">
        <x:v>9</x:v>
      </x:c>
      <x:c r="P3" s="14" t="s">
        <x:v>9</x:v>
      </x:c>
      <x:c r="Q3" s="53" t="s">
        <x:v>5</x:v>
      </x:c>
      <x:c r="R3" s="14" t="s">
        <x:v>10</x:v>
      </x:c>
      <x:c r="S3" s="14" t="s">
        <x:v>10</x:v>
      </x:c>
      <x:c r="T3" s="53" t="s">
        <x:v>5</x:v>
      </x:c>
      <x:c r="U3" s="14" t="s">
        <x:v>11</x:v>
      </x:c>
      <x:c r="V3" s="14" t="s">
        <x:v>11</x:v>
      </x:c>
      <x:c r="W3" s="53" t="s">
        <x:v>5</x:v>
      </x:c>
      <x:c r="X3" s="14" t="s">
        <x:v>12</x:v>
      </x:c>
      <x:c r="Y3" s="14" t="s">
        <x:v>12</x:v>
      </x:c>
      <x:c r="Z3" s="53" t="s">
        <x:v>5</x:v>
      </x:c>
      <x:c r="AA3" s="14" t="s">
        <x:v>13</x:v>
      </x:c>
      <x:c r="AB3" s="14" t="s">
        <x:v>13</x:v>
      </x:c>
      <x:c r="AC3" s="53" t="s">
        <x:v>5</x:v>
      </x:c>
      <x:c r="AD3" s="14" t="s">
        <x:v>14</x:v>
      </x:c>
      <x:c r="AE3" s="14" t="s">
        <x:v>14</x:v>
      </x:c>
      <x:c r="AF3" s="53" t="s">
        <x:v>5</x:v>
      </x:c>
    </x:row>
    <x:row r="4">
      <x:c r="A4" s="90"/>
      <x:c r="B4" s="91" t="s">
        <x:v>15</x:v>
      </x:c>
      <x:c r="C4" s="92"/>
      <x:c r="D4" s="93" t="s">
        <x:v>16</x:v>
      </x:c>
      <x:c r="E4" s="92"/>
      <x:c r="F4" s="94"/>
      <x:c r="G4" s="93" t="s">
        <x:v>17</x:v>
      </x:c>
      <x:c r="H4" s="92"/>
      <x:c r="I4" s="95" t="s">
        <x:v>18</x:v>
      </x:c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  <x:c r="AA4" s="96"/>
      <x:c r="AB4" s="96"/>
      <x:c r="AC4" s="96"/>
      <x:c r="AD4" s="96"/>
      <x:c r="AE4" s="92"/>
      <x:c r="AF4" s="14"/>
    </x:row>
    <x:row r="5">
      <x:c r="A5" s="97" t="s">
        <x:v>19</x:v>
      </x:c>
      <x:c r="B5" s="98"/>
      <x:c r="C5" s="98"/>
      <x:c r="D5" s="94"/>
      <x:c r="E5" s="94"/>
      <x:c r="F5" s="99" t="n">
        <x:f>SUM(F6:F207)</x:f>
        <x:v>0</x:v>
      </x:c>
      <x:c r="G5" s="99"/>
      <x:c r="H5" s="99"/>
      <x:c r="I5" s="99"/>
      <x:c r="J5" s="99"/>
      <x:c r="K5" s="99" t="n">
        <x:f>SUM(K6:K207)</x:f>
        <x:v>0</x:v>
      </x:c>
      <x:c r="L5" s="99"/>
      <x:c r="M5" s="99"/>
      <x:c r="N5" s="99" t="n">
        <x:f>SUM(N6:N207)</x:f>
        <x:v>0</x:v>
      </x:c>
      <x:c r="O5" s="99"/>
      <x:c r="P5" s="99"/>
      <x:c r="Q5" s="99" t="n">
        <x:f>SUM(Q6:Q207)</x:f>
        <x:v>0</x:v>
      </x:c>
      <x:c r="R5" s="99"/>
      <x:c r="S5" s="99"/>
      <x:c r="T5" s="99" t="n">
        <x:f>SUM(T6:T207)</x:f>
        <x:v>0</x:v>
      </x:c>
      <x:c r="U5" s="99"/>
      <x:c r="V5" s="99"/>
      <x:c r="W5" s="99" t="n">
        <x:f>SUM(W6:W207)</x:f>
        <x:v>0</x:v>
      </x:c>
      <x:c r="X5" s="99"/>
      <x:c r="Y5" s="99"/>
      <x:c r="Z5" s="99" t="n">
        <x:f>SUM(Z6:Z207)</x:f>
        <x:v>0</x:v>
      </x:c>
      <x:c r="AA5" s="99"/>
      <x:c r="AB5" s="99"/>
      <x:c r="AC5" s="99" t="n">
        <x:f>SUM(AC6:AC207)</x:f>
        <x:v>0</x:v>
      </x:c>
      <x:c r="AD5" s="99"/>
      <x:c r="AE5" s="99"/>
      <x:c r="AF5" s="99" t="n">
        <x:f>SUM(AF6:AF207)</x:f>
        <x:v>0</x:v>
      </x:c>
    </x:row>
    <x:row r="6">
      <x:c r="A6" s="26"/>
      <x:c r="B6" s="27" t="s">
        <x:v>20</x:v>
      </x:c>
      <x:c r="C6" s="27" t="s">
        <x:v>21</x:v>
      </x:c>
      <x:c r="D6" s="28" t="n">
        <x:v>248.24</x:v>
      </x:c>
      <x:c r="E6" s="28" t="n">
        <x:f t="shared" ref="E6:E167" si="1">D6*0.3</x:f>
        <x:v>74.472</x:v>
      </x:c>
      <x:c r="F6" s="28" t="n">
        <x:f t="shared" ref="F6:F207" si="2">E6*A6</x:f>
        <x:v>0</x:v>
      </x:c>
      <x:c r="G6" s="28" t="n">
        <x:v>154.01</x:v>
      </x:c>
      <x:c r="H6" s="28" t="n">
        <x:f t="shared" ref="H6:H167" si="3">G6*0.3</x:f>
        <x:v>46.202999999999996</x:v>
      </x:c>
      <x:c r="I6" s="28" t="n">
        <x:v>111.91</x:v>
      </x:c>
      <x:c r="J6" s="28" t="n">
        <x:f t="shared" ref="J6:J167" si="4">I6*0.3</x:f>
        <x:v>33.573</x:v>
      </x:c>
      <x:c r="K6" s="28" t="n">
        <x:f t="shared" ref="K6:K207" si="5">(J6+H6)*A6</x:f>
        <x:v>0</x:v>
      </x:c>
      <x:c r="L6" s="28" t="n">
        <x:v>96.95</x:v>
      </x:c>
      <x:c r="M6" s="28" t="n">
        <x:f t="shared" ref="M6:M199" si="6">L6*0.26</x:f>
        <x:v>25.207</x:v>
      </x:c>
      <x:c r="N6" s="28" t="n">
        <x:f t="shared" ref="N6:N207" si="7">(M6+H6)*A6</x:f>
        <x:v>0</x:v>
      </x:c>
      <x:c r="O6" s="28"/>
      <x:c r="P6" s="28" t="n">
        <x:f t="shared" ref="P6:P167" si="8">O6*0.3</x:f>
        <x:v>0</x:v>
      </x:c>
      <x:c r="Q6" s="28" t="n">
        <x:f t="shared" ref="Q6:Q207" si="9">(P6+H6)*A6</x:f>
        <x:v>0</x:v>
      </x:c>
      <x:c r="R6" s="28" t="n">
        <x:f t="shared" ref="R6:R34" si="10">L6</x:f>
        <x:v>96.95</x:v>
      </x:c>
      <x:c r="S6" s="28" t="n">
        <x:f t="shared" ref="S6:S167" si="11">R6*0.3</x:f>
        <x:v>29.085</x:v>
      </x:c>
      <x:c r="T6" s="28" t="n">
        <x:f t="shared" ref="T6:T207" si="12">(S6+H6)*A6</x:f>
        <x:v>0</x:v>
      </x:c>
      <x:c r="U6" s="28" t="n">
        <x:f t="shared" ref="U6:U100" si="13">R6</x:f>
        <x:v>96.95</x:v>
      </x:c>
      <x:c r="V6" s="28" t="n">
        <x:f t="shared" ref="V6:V167" si="14">U6*0.3</x:f>
        <x:v>29.085</x:v>
      </x:c>
      <x:c r="W6" s="28" t="n">
        <x:f t="shared" ref="W6:W207" si="15">(V6+H6)*A6</x:f>
        <x:v>0</x:v>
      </x:c>
      <x:c r="X6" s="28" t="n">
        <x:v>121.18</x:v>
      </x:c>
      <x:c r="Y6" s="28" t="n">
        <x:f t="shared" ref="Y6:Y167" si="16">X6*0.3</x:f>
        <x:v>36.354</x:v>
      </x:c>
      <x:c r="Z6" s="28" t="n">
        <x:f t="shared" ref="Z6:Z207" si="17">(Y6+H6)*A6</x:f>
        <x:v>0</x:v>
      </x:c>
      <x:c r="AA6" s="28" t="n">
        <x:v>108.22</x:v>
      </x:c>
      <x:c r="AB6" s="28" t="n">
        <x:f t="shared" ref="AB6:AB167" si="18">AA6*0.3</x:f>
        <x:v>32.466</x:v>
      </x:c>
      <x:c r="AC6" s="28" t="n">
        <x:f t="shared" ref="AC6:AC207" si="19">(AB6+H6)*A6</x:f>
        <x:v>0</x:v>
      </x:c>
      <x:c r="AD6" s="28" t="n">
        <x:v>119.43</x:v>
      </x:c>
      <x:c r="AE6" s="28" t="n">
        <x:f t="shared" ref="AE6:AE167" si="20">AD6*0.3</x:f>
        <x:v>35.829</x:v>
      </x:c>
      <x:c r="AF6" s="29" t="n">
        <x:f t="shared" ref="AF6:AF207" si="21">(AE6+H6)*A6</x:f>
        <x:v>0</x:v>
      </x:c>
    </x:row>
    <x:row r="7">
      <x:c r="A7" s="26"/>
      <x:c r="B7" s="27" t="s">
        <x:v>22</x:v>
      </x:c>
      <x:c r="C7" s="27" t="s">
        <x:v>21</x:v>
      </x:c>
      <x:c r="D7" s="28" t="n">
        <x:v>305.74</x:v>
      </x:c>
      <x:c r="E7" s="28" t="n">
        <x:f t="shared" si="1"/>
        <x:v>91.72</x:v>
      </x:c>
      <x:c r="F7" s="28" t="n">
        <x:f t="shared" si="2">E7*A7</x:f>
        <x:v>0</x:v>
      </x:c>
      <x:c r="G7" s="28" t="n">
        <x:v>228.25</x:v>
      </x:c>
      <x:c r="H7" s="28" t="n">
        <x:f t="shared" si="3"/>
        <x:v>68.47</x:v>
      </x:c>
      <x:c r="I7" s="28" t="n">
        <x:v>99.63</x:v>
      </x:c>
      <x:c r="J7" s="28" t="n">
        <x:f t="shared" si="4"/>
        <x:v>29.89</x:v>
      </x:c>
      <x:c r="K7" s="28" t="n">
        <x:f t="shared" si="5">(J7+H7)*A7</x:f>
        <x:v>0</x:v>
      </x:c>
      <x:c r="L7" s="28" t="n">
        <x:v>80.85</x:v>
      </x:c>
      <x:c r="M7" s="28" t="n">
        <x:f t="shared" si="6"/>
        <x:v>21.02</x:v>
      </x:c>
      <x:c r="N7" s="28" t="n">
        <x:f t="shared" si="7">(M7+H7)*A7</x:f>
        <x:v>0</x:v>
      </x:c>
      <x:c r="O7" s="28" t="n">
        <x:v>79.82</x:v>
      </x:c>
      <x:c r="P7" s="28" t="n">
        <x:f t="shared" si="8"/>
        <x:v>23.95</x:v>
      </x:c>
      <x:c r="Q7" s="28" t="n">
        <x:f t="shared" si="9">(P7+H7)*A7</x:f>
        <x:v>0</x:v>
      </x:c>
      <x:c r="R7" s="28" t="n">
        <x:f t="shared" si="10"/>
        <x:v>80.85</x:v>
      </x:c>
      <x:c r="S7" s="28" t="n">
        <x:f t="shared" si="11"/>
        <x:v>24.25</x:v>
      </x:c>
      <x:c r="T7" s="28" t="n">
        <x:f t="shared" si="12">(S7+H7)*A7</x:f>
        <x:v>0</x:v>
      </x:c>
      <x:c r="U7" s="28" t="n">
        <x:f t="shared" si="13"/>
        <x:v>80.85</x:v>
      </x:c>
      <x:c r="V7" s="28" t="n">
        <x:f t="shared" si="14"/>
        <x:v>24.25</x:v>
      </x:c>
      <x:c r="W7" s="28" t="n">
        <x:f t="shared" si="15">(V7+H7)*A7</x:f>
        <x:v>0</x:v>
      </x:c>
      <x:c r="X7" s="28" t="n">
        <x:v>174.33</x:v>
      </x:c>
      <x:c r="Y7" s="28" t="n">
        <x:f t="shared" si="16"/>
        <x:v>52.3</x:v>
      </x:c>
      <x:c r="Z7" s="28" t="n">
        <x:f t="shared" si="17">(Y7+H7)*A7</x:f>
        <x:v>0</x:v>
      </x:c>
      <x:c r="AA7" s="28" t="n">
        <x:v>95.61</x:v>
      </x:c>
      <x:c r="AB7" s="28" t="n">
        <x:f t="shared" si="18"/>
        <x:v>28.68</x:v>
      </x:c>
      <x:c r="AC7" s="28" t="n">
        <x:f t="shared" si="19">(AB7+H7)*A7</x:f>
        <x:v>0</x:v>
      </x:c>
      <x:c r="AD7" s="28" t="n">
        <x:v>115.54</x:v>
      </x:c>
      <x:c r="AE7" s="28" t="n">
        <x:f t="shared" si="20"/>
        <x:v>34.66</x:v>
      </x:c>
      <x:c r="AF7" s="29" t="n">
        <x:f t="shared" si="21">(AE7+H7)*A7</x:f>
        <x:v>0</x:v>
      </x:c>
    </x:row>
    <x:row r="8">
      <x:c r="A8" s="26"/>
      <x:c r="B8" s="27" t="s">
        <x:v>23</x:v>
      </x:c>
      <x:c r="C8" s="27" t="s">
        <x:v>24</x:v>
      </x:c>
      <x:c r="D8" s="28" t="n">
        <x:v>341.03</x:v>
      </x:c>
      <x:c r="E8" s="28" t="n">
        <x:f t="shared" si="1"/>
        <x:v>102.31</x:v>
      </x:c>
      <x:c r="F8" s="28" t="n">
        <x:f t="shared" si="2">E8*A8</x:f>
        <x:v>0</x:v>
      </x:c>
      <x:c r="G8" s="28" t="n">
        <x:v>254.5</x:v>
      </x:c>
      <x:c r="H8" s="28" t="n">
        <x:f t="shared" si="3"/>
        <x:v>76.35</x:v>
      </x:c>
      <x:c r="I8" s="28" t="n">
        <x:v>111.04</x:v>
      </x:c>
      <x:c r="J8" s="28" t="n">
        <x:f t="shared" si="4"/>
        <x:v>33.31</x:v>
      </x:c>
      <x:c r="K8" s="28" t="n">
        <x:f t="shared" si="5">(J8+H8)*A8</x:f>
        <x:v>0</x:v>
      </x:c>
      <x:c r="L8" s="28" t="n">
        <x:v>90.23</x:v>
      </x:c>
      <x:c r="M8" s="28" t="n">
        <x:f t="shared" si="6"/>
        <x:v>23.46</x:v>
      </x:c>
      <x:c r="N8" s="28" t="n">
        <x:f t="shared" si="7">(M8+H8)*A8</x:f>
        <x:v>0</x:v>
      </x:c>
      <x:c r="O8" s="28" t="n">
        <x:v>89.12</x:v>
      </x:c>
      <x:c r="P8" s="28" t="n">
        <x:f t="shared" si="8"/>
        <x:v>26.74</x:v>
      </x:c>
      <x:c r="Q8" s="28" t="n">
        <x:f t="shared" si="9">(P8+H8)*A8</x:f>
        <x:v>0</x:v>
      </x:c>
      <x:c r="R8" s="28" t="n">
        <x:f t="shared" si="10"/>
        <x:v>90.23</x:v>
      </x:c>
      <x:c r="S8" s="28" t="n">
        <x:f t="shared" si="11"/>
        <x:v>27.07</x:v>
      </x:c>
      <x:c r="T8" s="28" t="n">
        <x:f t="shared" si="12">(S8+H8)*A8</x:f>
        <x:v>0</x:v>
      </x:c>
      <x:c r="U8" s="28" t="n">
        <x:f t="shared" si="13"/>
        <x:v>90.23</x:v>
      </x:c>
      <x:c r="V8" s="28" t="n">
        <x:f t="shared" si="14"/>
        <x:v>27.07</x:v>
      </x:c>
      <x:c r="W8" s="28" t="n">
        <x:f t="shared" si="15">(V8+H8)*A8</x:f>
        <x:v>0</x:v>
      </x:c>
      <x:c r="X8" s="28" t="n">
        <x:v>209.64</x:v>
      </x:c>
      <x:c r="Y8" s="28" t="n">
        <x:f t="shared" si="16"/>
        <x:v>62.89</x:v>
      </x:c>
      <x:c r="Z8" s="28" t="n">
        <x:f t="shared" si="17">(Y8+H8)*A8</x:f>
        <x:v>0</x:v>
      </x:c>
      <x:c r="AA8" s="28" t="n">
        <x:v>106.34</x:v>
      </x:c>
      <x:c r="AB8" s="28" t="n">
        <x:f t="shared" si="18"/>
        <x:v>31.9</x:v>
      </x:c>
      <x:c r="AC8" s="28" t="n">
        <x:f t="shared" si="19">(AB8+H8)*A8</x:f>
        <x:v>0</x:v>
      </x:c>
      <x:c r="AD8" s="28" t="n">
        <x:v>121.11</x:v>
      </x:c>
      <x:c r="AE8" s="28" t="n">
        <x:f t="shared" si="20"/>
        <x:v>36.33</x:v>
      </x:c>
      <x:c r="AF8" s="29" t="n">
        <x:f t="shared" si="21">(AE8+H8)*A8</x:f>
        <x:v>0</x:v>
      </x:c>
    </x:row>
    <x:row r="9">
      <x:c r="A9" s="26"/>
      <x:c r="B9" s="27" t="s">
        <x:v>25</x:v>
      </x:c>
      <x:c r="C9" s="27" t="s">
        <x:v>26</x:v>
      </x:c>
      <x:c r="D9" s="28" t="n">
        <x:v>367.13</x:v>
      </x:c>
      <x:c r="E9" s="28" t="n">
        <x:f t="shared" si="1"/>
        <x:v>110.14</x:v>
      </x:c>
      <x:c r="F9" s="28" t="n">
        <x:f t="shared" si="2">E9*A9</x:f>
        <x:v>0</x:v>
      </x:c>
      <x:c r="G9" s="28" t="n">
        <x:v>265.96</x:v>
      </x:c>
      <x:c r="H9" s="28" t="n">
        <x:f t="shared" si="3"/>
        <x:v>79.79</x:v>
      </x:c>
      <x:c r="I9" s="28" t="n">
        <x:v>128.29</x:v>
      </x:c>
      <x:c r="J9" s="28" t="n">
        <x:f t="shared" si="4"/>
        <x:v>38.49</x:v>
      </x:c>
      <x:c r="K9" s="28" t="n">
        <x:f t="shared" si="5">(J9+H9)*A9</x:f>
        <x:v>0</x:v>
      </x:c>
      <x:c r="L9" s="28" t="n">
        <x:v>105.67</x:v>
      </x:c>
      <x:c r="M9" s="28" t="n">
        <x:f t="shared" si="6"/>
        <x:v>27.47</x:v>
      </x:c>
      <x:c r="N9" s="28" t="n">
        <x:f t="shared" si="7">(M9+H9)*A9</x:f>
        <x:v>0</x:v>
      </x:c>
      <x:c r="O9" s="28" t="n">
        <x:v>104.35</x:v>
      </x:c>
      <x:c r="P9" s="28" t="n">
        <x:f t="shared" si="8"/>
        <x:v>31.31</x:v>
      </x:c>
      <x:c r="Q9" s="28" t="n">
        <x:f t="shared" si="9">(P9+H9)*A9</x:f>
        <x:v>0</x:v>
      </x:c>
      <x:c r="R9" s="28" t="n">
        <x:f t="shared" si="10"/>
        <x:v>105.67</x:v>
      </x:c>
      <x:c r="S9" s="28" t="n">
        <x:f t="shared" si="11"/>
        <x:v>31.7</x:v>
      </x:c>
      <x:c r="T9" s="28" t="n">
        <x:f t="shared" si="12">(S9+H9)*A9</x:f>
        <x:v>0</x:v>
      </x:c>
      <x:c r="U9" s="28" t="n">
        <x:f t="shared" si="13"/>
        <x:v>105.67</x:v>
      </x:c>
      <x:c r="V9" s="28" t="n">
        <x:f t="shared" si="14"/>
        <x:v>31.7</x:v>
      </x:c>
      <x:c r="W9" s="28" t="n">
        <x:f t="shared" si="15">(V9+H9)*A9</x:f>
        <x:v>0</x:v>
      </x:c>
      <x:c r="X9" s="28" t="n">
        <x:v>244.93</x:v>
      </x:c>
      <x:c r="Y9" s="28" t="n">
        <x:f t="shared" si="16"/>
        <x:v>73.48</x:v>
      </x:c>
      <x:c r="Z9" s="28" t="n">
        <x:f t="shared" si="17">(Y9+H9)*A9</x:f>
        <x:v>0</x:v>
      </x:c>
      <x:c r="AA9" s="28" t="n">
        <x:v>124.52</x:v>
      </x:c>
      <x:c r="AB9" s="28" t="n">
        <x:f t="shared" si="18"/>
        <x:v>37.36</x:v>
      </x:c>
      <x:c r="AC9" s="28" t="n">
        <x:f t="shared" si="19">(AB9+H9)*A9</x:f>
        <x:v>0</x:v>
      </x:c>
      <x:c r="AD9" s="28" t="n">
        <x:v>138.75</x:v>
      </x:c>
      <x:c r="AE9" s="28" t="n">
        <x:f t="shared" si="20"/>
        <x:v>41.63</x:v>
      </x:c>
      <x:c r="AF9" s="29" t="n">
        <x:f t="shared" si="21">(AE9+H9)*A9</x:f>
        <x:v>0</x:v>
      </x:c>
    </x:row>
    <x:row r="10">
      <x:c r="A10" s="26"/>
      <x:c r="B10" s="27" t="s">
        <x:v>27</x:v>
      </x:c>
      <x:c r="C10" s="27" t="s">
        <x:v>28</x:v>
      </x:c>
      <x:c r="D10" s="28" t="n">
        <x:v>392.43</x:v>
      </x:c>
      <x:c r="E10" s="28" t="n">
        <x:f t="shared" si="1"/>
        <x:v>117.73</x:v>
      </x:c>
      <x:c r="F10" s="28" t="n">
        <x:f t="shared" si="2">E10*A10</x:f>
        <x:v>0</x:v>
      </x:c>
      <x:c r="G10" s="28" t="n">
        <x:v>279.24</x:v>
      </x:c>
      <x:c r="H10" s="28" t="n">
        <x:f t="shared" si="3"/>
        <x:v>83.77</x:v>
      </x:c>
      <x:c r="I10" s="28" t="n">
        <x:v>133.38</x:v>
      </x:c>
      <x:c r="J10" s="28" t="n">
        <x:f t="shared" si="4"/>
        <x:v>40.01</x:v>
      </x:c>
      <x:c r="K10" s="28" t="n">
        <x:f t="shared" si="5">(J10+H10)*A10</x:f>
        <x:v>0</x:v>
      </x:c>
      <x:c r="L10" s="28" t="n">
        <x:v>117.74</x:v>
      </x:c>
      <x:c r="M10" s="28" t="n">
        <x:f t="shared" si="6"/>
        <x:v>30.61</x:v>
      </x:c>
      <x:c r="N10" s="28" t="n">
        <x:f t="shared" si="7">(M10+H10)*A10</x:f>
        <x:v>0</x:v>
      </x:c>
      <x:c r="O10" s="28" t="n">
        <x:v>116.24</x:v>
      </x:c>
      <x:c r="P10" s="28" t="n">
        <x:f t="shared" si="8"/>
        <x:v>34.87</x:v>
      </x:c>
      <x:c r="Q10" s="28" t="n">
        <x:f t="shared" si="9">(P10+H10)*A10</x:f>
        <x:v>0</x:v>
      </x:c>
      <x:c r="R10" s="28" t="n">
        <x:f t="shared" si="10"/>
        <x:v>117.74</x:v>
      </x:c>
      <x:c r="S10" s="28" t="n">
        <x:f t="shared" si="11"/>
        <x:v>35.32</x:v>
      </x:c>
      <x:c r="T10" s="28" t="n">
        <x:f t="shared" si="12">(S10+H10)*A10</x:f>
        <x:v>0</x:v>
      </x:c>
      <x:c r="U10" s="28" t="n">
        <x:f t="shared" si="13"/>
        <x:v>117.74</x:v>
      </x:c>
      <x:c r="V10" s="28" t="n">
        <x:f t="shared" si="14"/>
        <x:v>35.32</x:v>
      </x:c>
      <x:c r="W10" s="28" t="n">
        <x:f t="shared" si="15">(V10+H10)*A10</x:f>
        <x:v>0</x:v>
      </x:c>
      <x:c r="X10" s="28" t="n">
        <x:v>280.23</x:v>
      </x:c>
      <x:c r="Y10" s="28" t="n">
        <x:f t="shared" si="16"/>
        <x:v>84.07</x:v>
      </x:c>
      <x:c r="Z10" s="28" t="n">
        <x:f t="shared" si="17">(Y10+H10)*A10</x:f>
        <x:v>0</x:v>
      </x:c>
      <x:c r="AA10" s="28" t="n">
        <x:v>131.16</x:v>
      </x:c>
      <x:c r="AB10" s="28" t="n">
        <x:f t="shared" si="18"/>
        <x:v>39.35</x:v>
      </x:c>
      <x:c r="AC10" s="28" t="n">
        <x:f t="shared" si="19">(AB10+H10)*A10</x:f>
        <x:v>0</x:v>
      </x:c>
      <x:c r="AD10" s="28" t="n">
        <x:v>153.98</x:v>
      </x:c>
      <x:c r="AE10" s="28" t="n">
        <x:f t="shared" si="20"/>
        <x:v>46.19</x:v>
      </x:c>
      <x:c r="AF10" s="29" t="n">
        <x:f t="shared" si="21">(AE10+H10)*A10</x:f>
        <x:v>0</x:v>
      </x:c>
    </x:row>
    <x:row r="11">
      <x:c r="A11" s="26"/>
      <x:c r="B11" s="27" t="s">
        <x:v>29</x:v>
      </x:c>
      <x:c r="C11" s="27" t="s">
        <x:v>30</x:v>
      </x:c>
      <x:c r="D11" s="28" t="n">
        <x:v>426.44</x:v>
      </x:c>
      <x:c r="E11" s="28" t="n">
        <x:f t="shared" si="1"/>
        <x:v>127.93</x:v>
      </x:c>
      <x:c r="F11" s="28" t="n">
        <x:f t="shared" si="2">E11*A11</x:f>
        <x:v>0</x:v>
      </x:c>
      <x:c r="G11" s="28" t="n">
        <x:v>282.64</x:v>
      </x:c>
      <x:c r="H11" s="28" t="n">
        <x:f t="shared" si="3"/>
        <x:v>84.79</x:v>
      </x:c>
      <x:c r="I11" s="28" t="n">
        <x:v>173.91</x:v>
      </x:c>
      <x:c r="J11" s="28" t="n">
        <x:f t="shared" si="4"/>
        <x:v>52.17</x:v>
      </x:c>
      <x:c r="K11" s="28" t="n">
        <x:f t="shared" si="5">(J11+H11)*A11</x:f>
        <x:v>0</x:v>
      </x:c>
      <x:c r="L11" s="28" t="n">
        <x:v>148.28</x:v>
      </x:c>
      <x:c r="M11" s="28" t="n">
        <x:f t="shared" si="6"/>
        <x:v>38.55</x:v>
      </x:c>
      <x:c r="N11" s="28" t="n">
        <x:f t="shared" si="7">(M11+H11)*A11</x:f>
        <x:v>0</x:v>
      </x:c>
      <x:c r="O11" s="28" t="n">
        <x:v>146.35</x:v>
      </x:c>
      <x:c r="P11" s="28" t="n">
        <x:f t="shared" si="8"/>
        <x:v>43.9</x:v>
      </x:c>
      <x:c r="Q11" s="28" t="n">
        <x:f t="shared" si="9">(P11+H11)*A11</x:f>
        <x:v>0</x:v>
      </x:c>
      <x:c r="R11" s="28" t="n">
        <x:f t="shared" si="10"/>
        <x:v>148.28</x:v>
      </x:c>
      <x:c r="S11" s="28" t="n">
        <x:f t="shared" si="11"/>
        <x:v>44.48</x:v>
      </x:c>
      <x:c r="T11" s="28" t="n">
        <x:f t="shared" si="12">(S11+H11)*A11</x:f>
        <x:v>0</x:v>
      </x:c>
      <x:c r="U11" s="28" t="n">
        <x:f t="shared" si="13"/>
        <x:v>148.28</x:v>
      </x:c>
      <x:c r="V11" s="28" t="n">
        <x:f t="shared" si="14"/>
        <x:v>44.48</x:v>
      </x:c>
      <x:c r="W11" s="28" t="n">
        <x:f t="shared" si="15">(V11+H11)*A11</x:f>
        <x:v>0</x:v>
      </x:c>
      <x:c r="X11" s="28" t="n">
        <x:v>315.53</x:v>
      </x:c>
      <x:c r="Y11" s="28" t="n">
        <x:f t="shared" si="16"/>
        <x:v>94.66</x:v>
      </x:c>
      <x:c r="Z11" s="28" t="n">
        <x:f t="shared" si="17">(Y11+H11)*A11</x:f>
        <x:v>0</x:v>
      </x:c>
      <x:c r="AA11" s="28" t="n">
        <x:v>165.55</x:v>
      </x:c>
      <x:c r="AB11" s="28" t="n">
        <x:f t="shared" si="18"/>
        <x:v>49.66</x:v>
      </x:c>
      <x:c r="AC11" s="28" t="n">
        <x:f t="shared" si="19">(AB11+H11)*A11</x:f>
        <x:v>0</x:v>
      </x:c>
      <x:c r="AD11" s="28" t="n">
        <x:v>187.52</x:v>
      </x:c>
      <x:c r="AE11" s="28" t="n">
        <x:f t="shared" si="20"/>
        <x:v>56.26</x:v>
      </x:c>
      <x:c r="AF11" s="29" t="n">
        <x:f t="shared" si="21">(AE11+H11)*A11</x:f>
        <x:v>0</x:v>
      </x:c>
    </x:row>
    <x:row r="12">
      <x:c r="A12" s="26"/>
      <x:c r="B12" s="27" t="s">
        <x:v>31</x:v>
      </x:c>
      <x:c r="C12" s="27" t="s">
        <x:v>32</x:v>
      </x:c>
      <x:c r="D12" s="28" t="n">
        <x:v>477.23</x:v>
      </x:c>
      <x:c r="E12" s="28" t="n">
        <x:f t="shared" si="1"/>
        <x:v>143.17</x:v>
      </x:c>
      <x:c r="F12" s="28" t="n">
        <x:f t="shared" si="2">E12*A12</x:f>
        <x:v>0</x:v>
      </x:c>
      <x:c r="G12" s="28" t="n">
        <x:v>305.54</x:v>
      </x:c>
      <x:c r="H12" s="28" t="n">
        <x:f t="shared" si="3"/>
        <x:v>91.66</x:v>
      </x:c>
      <x:c r="I12" s="28" t="n">
        <x:v>195.38</x:v>
      </x:c>
      <x:c r="J12" s="28" t="n">
        <x:f t="shared" si="4"/>
        <x:v>58.61</x:v>
      </x:c>
      <x:c r="K12" s="28" t="n">
        <x:f t="shared" si="5">(J12+H12)*A12</x:f>
        <x:v>0</x:v>
      </x:c>
      <x:c r="L12" s="28" t="n">
        <x:v>176.79</x:v>
      </x:c>
      <x:c r="M12" s="28" t="n">
        <x:f t="shared" si="6"/>
        <x:v>45.97</x:v>
      </x:c>
      <x:c r="N12" s="28" t="n">
        <x:f t="shared" si="7">(M12+H12)*A12</x:f>
        <x:v>0</x:v>
      </x:c>
      <x:c r="O12" s="28" t="n">
        <x:v>174.52</x:v>
      </x:c>
      <x:c r="P12" s="28" t="n">
        <x:f t="shared" si="8"/>
        <x:v>52.36</x:v>
      </x:c>
      <x:c r="Q12" s="28" t="n">
        <x:f t="shared" si="9">(P12+H12)*A12</x:f>
        <x:v>0</x:v>
      </x:c>
      <x:c r="R12" s="28" t="n">
        <x:f t="shared" si="10"/>
        <x:v>176.79</x:v>
      </x:c>
      <x:c r="S12" s="28" t="n">
        <x:f t="shared" si="11"/>
        <x:v>53.04</x:v>
      </x:c>
      <x:c r="T12" s="28" t="n">
        <x:f t="shared" si="12">(S12+H12)*A12</x:f>
        <x:v>0</x:v>
      </x:c>
      <x:c r="U12" s="28" t="n">
        <x:f t="shared" si="13"/>
        <x:v>176.79</x:v>
      </x:c>
      <x:c r="V12" s="28" t="n">
        <x:f t="shared" si="14"/>
        <x:v>53.04</x:v>
      </x:c>
      <x:c r="W12" s="28" t="n">
        <x:f t="shared" si="15">(V12+H12)*A12</x:f>
        <x:v>0</x:v>
      </x:c>
      <x:c r="X12" s="28" t="n">
        <x:v>380.72</x:v>
      </x:c>
      <x:c r="Y12" s="28" t="n">
        <x:f t="shared" si="16"/>
        <x:v>114.22</x:v>
      </x:c>
      <x:c r="Z12" s="28" t="n">
        <x:f t="shared" si="17">(Y12+H12)*A12</x:f>
        <x:v>0</x:v>
      </x:c>
      <x:c r="AA12" s="28" t="n">
        <x:v>187.03</x:v>
      </x:c>
      <x:c r="AB12" s="28" t="n">
        <x:f t="shared" si="18"/>
        <x:v>56.11</x:v>
      </x:c>
      <x:c r="AC12" s="28" t="n">
        <x:f t="shared" si="19">(AB12+H12)*A12</x:f>
        <x:v>0</x:v>
      </x:c>
      <x:c r="AD12" s="28" t="n">
        <x:v>220.06</x:v>
      </x:c>
      <x:c r="AE12" s="28" t="n">
        <x:f t="shared" si="20"/>
        <x:v>66.02</x:v>
      </x:c>
      <x:c r="AF12" s="29" t="n">
        <x:f t="shared" si="21">(AE12+H12)*A12</x:f>
        <x:v>0</x:v>
      </x:c>
    </x:row>
    <x:row r="13">
      <x:c r="A13" s="26"/>
      <x:c r="B13" s="27" t="s">
        <x:v>33</x:v>
      </x:c>
      <x:c r="C13" s="27" t="s">
        <x:v>34</x:v>
      </x:c>
      <x:c r="D13" s="28" t="n">
        <x:v>497.56</x:v>
      </x:c>
      <x:c r="E13" s="28" t="n">
        <x:f t="shared" si="1"/>
        <x:v>149.27</x:v>
      </x:c>
      <x:c r="F13" s="28" t="n">
        <x:f t="shared" si="2">E13*A13</x:f>
        <x:v>0</x:v>
      </x:c>
      <x:c r="G13" s="28" t="n">
        <x:v>312.06</x:v>
      </x:c>
      <x:c r="H13" s="28" t="n">
        <x:f t="shared" si="3"/>
        <x:v>93.62</x:v>
      </x:c>
      <x:c r="I13" s="28" t="n">
        <x:v>221.53</x:v>
      </x:c>
      <x:c r="J13" s="28" t="n">
        <x:f t="shared" si="4"/>
        <x:v>66.46</x:v>
      </x:c>
      <x:c r="K13" s="28" t="n">
        <x:f t="shared" si="5">(J13+H13)*A13</x:f>
        <x:v>0</x:v>
      </x:c>
      <x:c r="L13" s="28" t="n">
        <x:v>190.87</x:v>
      </x:c>
      <x:c r="M13" s="28" t="n">
        <x:f t="shared" si="6"/>
        <x:v>49.63</x:v>
      </x:c>
      <x:c r="N13" s="28" t="n">
        <x:f t="shared" si="7">(M13+H13)*A13</x:f>
        <x:v>0</x:v>
      </x:c>
      <x:c r="O13" s="28" t="n">
        <x:v>188.41</x:v>
      </x:c>
      <x:c r="P13" s="28" t="n">
        <x:f t="shared" si="8"/>
        <x:v>56.52</x:v>
      </x:c>
      <x:c r="Q13" s="28" t="n">
        <x:f t="shared" si="9">(P13+H13)*A13</x:f>
        <x:v>0</x:v>
      </x:c>
      <x:c r="R13" s="28" t="n">
        <x:f t="shared" si="10"/>
        <x:v>190.87</x:v>
      </x:c>
      <x:c r="S13" s="28" t="n">
        <x:f t="shared" si="11"/>
        <x:v>57.26</x:v>
      </x:c>
      <x:c r="T13" s="28" t="n">
        <x:f t="shared" si="12">(S13+H13)*A13</x:f>
        <x:v>0</x:v>
      </x:c>
      <x:c r="U13" s="28" t="n">
        <x:f t="shared" si="13"/>
        <x:v>190.87</x:v>
      </x:c>
      <x:c r="V13" s="28" t="n">
        <x:f t="shared" si="14"/>
        <x:v>57.26</x:v>
      </x:c>
      <x:c r="W13" s="28" t="n">
        <x:f t="shared" si="15">(V13+H13)*A13</x:f>
        <x:v>0</x:v>
      </x:c>
      <x:c r="X13" s="28" t="n">
        <x:v>416.01</x:v>
      </x:c>
      <x:c r="Y13" s="28" t="n">
        <x:f t="shared" si="16"/>
        <x:v>124.8</x:v>
      </x:c>
      <x:c r="Z13" s="28" t="n">
        <x:f t="shared" si="17">(Y13+H13)*A13</x:f>
        <x:v>0</x:v>
      </x:c>
      <x:c r="AA13" s="28" t="n">
        <x:v>207.82</x:v>
      </x:c>
      <x:c r="AB13" s="28" t="n">
        <x:f t="shared" si="18"/>
        <x:v>62.34</x:v>
      </x:c>
      <x:c r="AC13" s="28" t="n">
        <x:f t="shared" si="19">(AB13+H13)*A13</x:f>
        <x:v>0</x:v>
      </x:c>
      <x:c r="AD13" s="28" t="n">
        <x:v>235.83</x:v>
      </x:c>
      <x:c r="AE13" s="28" t="n">
        <x:f t="shared" si="20"/>
        <x:v>70.75</x:v>
      </x:c>
      <x:c r="AF13" s="29" t="n">
        <x:f t="shared" si="21">(AE13+H13)*A13</x:f>
        <x:v>0</x:v>
      </x:c>
    </x:row>
    <x:row r="14">
      <x:c r="A14" s="26"/>
      <x:c r="B14" s="27" t="s">
        <x:v>35</x:v>
      </x:c>
      <x:c r="C14" s="27" t="s">
        <x:v>36</x:v>
      </x:c>
      <x:c r="D14" s="28" t="n">
        <x:v>554.65</x:v>
      </x:c>
      <x:c r="E14" s="28" t="n">
        <x:f t="shared" si="1"/>
        <x:v>166.39</x:v>
      </x:c>
      <x:c r="F14" s="28" t="n">
        <x:f t="shared" si="2">E14*A14</x:f>
        <x:v>0</x:v>
      </x:c>
      <x:c r="G14" s="28" t="n">
        <x:v>343.61</x:v>
      </x:c>
      <x:c r="H14" s="28" t="n">
        <x:f t="shared" si="3"/>
        <x:v>103.08</x:v>
      </x:c>
      <x:c r="I14" s="28" t="n">
        <x:v>250.59</x:v>
      </x:c>
      <x:c r="J14" s="28" t="n">
        <x:f t="shared" si="4"/>
        <x:v>75.18</x:v>
      </x:c>
      <x:c r="K14" s="28" t="n">
        <x:f t="shared" si="5">(J14+H14)*A14</x:f>
        <x:v>0</x:v>
      </x:c>
      <x:c r="L14" s="28" t="n">
        <x:v>217.04</x:v>
      </x:c>
      <x:c r="M14" s="28" t="n">
        <x:f t="shared" si="6"/>
        <x:v>56.43</x:v>
      </x:c>
      <x:c r="N14" s="28" t="n">
        <x:f t="shared" si="7">(M14+H14)*A14</x:f>
        <x:v>0</x:v>
      </x:c>
      <x:c r="O14" s="28" t="n">
        <x:v>214.28</x:v>
      </x:c>
      <x:c r="P14" s="28" t="n">
        <x:f t="shared" si="8"/>
        <x:v>64.28</x:v>
      </x:c>
      <x:c r="Q14" s="28" t="n">
        <x:f t="shared" si="9">(P14+H14)*A14</x:f>
        <x:v>0</x:v>
      </x:c>
      <x:c r="R14" s="28" t="n">
        <x:f t="shared" si="10"/>
        <x:v>217.04</x:v>
      </x:c>
      <x:c r="S14" s="28" t="n">
        <x:f t="shared" si="11"/>
        <x:v>65.11</x:v>
      </x:c>
      <x:c r="T14" s="28" t="n">
        <x:f t="shared" si="12">(S14+H14)*A14</x:f>
        <x:v>0</x:v>
      </x:c>
      <x:c r="U14" s="28" t="n">
        <x:f t="shared" si="13"/>
        <x:v>217.04</x:v>
      </x:c>
      <x:c r="V14" s="28" t="n">
        <x:f t="shared" si="14"/>
        <x:v>65.11</x:v>
      </x:c>
      <x:c r="W14" s="28" t="n">
        <x:f t="shared" si="15">(V14+H14)*A14</x:f>
        <x:v>0</x:v>
      </x:c>
      <x:c r="X14" s="28" t="n">
        <x:v>451.31</x:v>
      </x:c>
      <x:c r="Y14" s="28" t="n">
        <x:f t="shared" si="16"/>
        <x:v>135.39</x:v>
      </x:c>
      <x:c r="Z14" s="28" t="n">
        <x:f t="shared" si="17">(Y14+H14)*A14</x:f>
        <x:v>0</x:v>
      </x:c>
      <x:c r="AA14" s="28" t="n">
        <x:v>235.5</x:v>
      </x:c>
      <x:c r="AB14" s="28" t="n">
        <x:f t="shared" si="18"/>
        <x:v>70.65</x:v>
      </x:c>
      <x:c r="AC14" s="28" t="n">
        <x:f t="shared" si="19">(AB14+H14)*A14</x:f>
        <x:v>0</x:v>
      </x:c>
      <x:c r="AD14" s="28" t="n">
        <x:v>268.03</x:v>
      </x:c>
      <x:c r="AE14" s="28" t="n">
        <x:f t="shared" si="20"/>
        <x:v>80.41</x:v>
      </x:c>
      <x:c r="AF14" s="29" t="n">
        <x:f t="shared" si="21">(AE14+H14)*A14</x:f>
        <x:v>0</x:v>
      </x:c>
    </x:row>
    <x:row r="15">
      <x:c r="A15" s="26"/>
      <x:c r="B15" s="27" t="s">
        <x:v>37</x:v>
      </x:c>
      <x:c r="C15" s="27" t="s">
        <x:v>38</x:v>
      </x:c>
      <x:c r="D15" s="28" t="n">
        <x:v>644.96</x:v>
      </x:c>
      <x:c r="E15" s="28" t="n">
        <x:f t="shared" si="1"/>
        <x:v>193.49</x:v>
      </x:c>
      <x:c r="F15" s="28" t="n">
        <x:f t="shared" si="2">E15*A15</x:f>
        <x:v>0</x:v>
      </x:c>
      <x:c r="G15" s="28" t="n">
        <x:v>426.35</x:v>
      </x:c>
      <x:c r="H15" s="28" t="n">
        <x:f t="shared" si="3"/>
        <x:v>127.9</x:v>
      </x:c>
      <x:c r="I15" s="28" t="n">
        <x:v>264.68</x:v>
      </x:c>
      <x:c r="J15" s="28" t="n">
        <x:f t="shared" si="4"/>
        <x:v>79.4</x:v>
      </x:c>
      <x:c r="K15" s="28" t="n">
        <x:f t="shared" si="5">(J15+H15)*A15</x:f>
        <x:v>0</x:v>
      </x:c>
      <x:c r="L15" s="28" t="n">
        <x:v>225.76</x:v>
      </x:c>
      <x:c r="M15" s="28" t="n">
        <x:f t="shared" si="6"/>
        <x:v>58.7</x:v>
      </x:c>
      <x:c r="N15" s="28" t="n">
        <x:f t="shared" si="7">(M15+H15)*A15</x:f>
        <x:v>0</x:v>
      </x:c>
      <x:c r="O15" s="28" t="n">
        <x:v>222.89</x:v>
      </x:c>
      <x:c r="P15" s="28" t="n">
        <x:f t="shared" si="8"/>
        <x:v>66.87</x:v>
      </x:c>
      <x:c r="Q15" s="28" t="n">
        <x:f t="shared" si="9">(P15+H15)*A15</x:f>
        <x:v>0</x:v>
      </x:c>
      <x:c r="R15" s="28" t="n">
        <x:f t="shared" si="10"/>
        <x:v>225.76</x:v>
      </x:c>
      <x:c r="S15" s="28" t="n">
        <x:f t="shared" si="11"/>
        <x:v>67.73</x:v>
      </x:c>
      <x:c r="T15" s="28" t="n">
        <x:f t="shared" si="12">(S15+H15)*A15</x:f>
        <x:v>0</x:v>
      </x:c>
      <x:c r="U15" s="28" t="n">
        <x:f t="shared" si="13"/>
        <x:v>225.76</x:v>
      </x:c>
      <x:c r="V15" s="28" t="n">
        <x:f t="shared" si="14"/>
        <x:v>67.73</x:v>
      </x:c>
      <x:c r="W15" s="28" t="n">
        <x:f t="shared" si="15">(V15+H15)*A15</x:f>
        <x:v>0</x:v>
      </x:c>
      <x:c r="X15" s="28" t="n">
        <x:v>486.61</x:v>
      </x:c>
      <x:c r="Y15" s="28" t="n">
        <x:f t="shared" si="16"/>
        <x:v>145.98</x:v>
      </x:c>
      <x:c r="Z15" s="28" t="n">
        <x:f t="shared" si="17">(Y15+H15)*A15</x:f>
        <x:v>0</x:v>
      </x:c>
      <x:c r="AA15" s="28" t="n">
        <x:v>245.44</x:v>
      </x:c>
      <x:c r="AB15" s="28" t="n">
        <x:f t="shared" si="18"/>
        <x:v>73.63</x:v>
      </x:c>
      <x:c r="AC15" s="28" t="n">
        <x:f t="shared" si="19">(AB15+H15)*A15</x:f>
        <x:v>0</x:v>
      </x:c>
      <x:c r="AD15" s="28" t="n">
        <x:v>284.81</x:v>
      </x:c>
      <x:c r="AE15" s="28" t="n">
        <x:f t="shared" si="20"/>
        <x:v>85.44</x:v>
      </x:c>
      <x:c r="AF15" s="29" t="n">
        <x:f t="shared" si="21">(AE15+H15)*A15</x:f>
        <x:v>0</x:v>
      </x:c>
    </x:row>
    <x:row r="16">
      <x:c r="A16" s="26"/>
      <x:c r="B16" s="27" t="s">
        <x:v>39</x:v>
      </x:c>
      <x:c r="C16" s="27" t="s">
        <x:v>40</x:v>
      </x:c>
      <x:c r="D16" s="28" t="n">
        <x:v>670.18</x:v>
      </x:c>
      <x:c r="E16" s="28" t="n">
        <x:f t="shared" si="1"/>
        <x:v>201.05</x:v>
      </x:c>
      <x:c r="F16" s="28" t="n">
        <x:f t="shared" si="2">E16*A16</x:f>
        <x:v>0</x:v>
      </x:c>
      <x:c r="G16" s="28" t="n">
        <x:v>432.5</x:v>
      </x:c>
      <x:c r="H16" s="28" t="n">
        <x:f t="shared" si="3"/>
        <x:v>129.75</x:v>
      </x:c>
      <x:c r="I16" s="28" t="n">
        <x:v>285.47</x:v>
      </x:c>
      <x:c r="J16" s="28" t="n">
        <x:f t="shared" si="4"/>
        <x:v>85.64</x:v>
      </x:c>
      <x:c r="K16" s="28" t="n">
        <x:f t="shared" si="5">(J16+H16)*A16</x:f>
        <x:v>0</x:v>
      </x:c>
      <x:c r="L16" s="28" t="n">
        <x:v>245.23</x:v>
      </x:c>
      <x:c r="M16" s="28" t="n">
        <x:f t="shared" si="6"/>
        <x:v>63.76</x:v>
      </x:c>
      <x:c r="N16" s="28" t="n">
        <x:f t="shared" si="7">(M16+H16)*A16</x:f>
        <x:v>0</x:v>
      </x:c>
      <x:c r="O16" s="28" t="n">
        <x:v>242.09</x:v>
      </x:c>
      <x:c r="P16" s="28" t="n">
        <x:f t="shared" si="8"/>
        <x:v>72.63</x:v>
      </x:c>
      <x:c r="Q16" s="28" t="n">
        <x:f t="shared" si="9">(P16+H16)*A16</x:f>
        <x:v>0</x:v>
      </x:c>
      <x:c r="R16" s="28" t="n">
        <x:f t="shared" si="10"/>
        <x:v>245.23</x:v>
      </x:c>
      <x:c r="S16" s="28" t="n">
        <x:f t="shared" si="11"/>
        <x:v>73.57</x:v>
      </x:c>
      <x:c r="T16" s="28" t="n">
        <x:f t="shared" si="12">(S16+H16)*A16</x:f>
        <x:v>0</x:v>
      </x:c>
      <x:c r="U16" s="28" t="n">
        <x:f t="shared" si="13"/>
        <x:v>245.23</x:v>
      </x:c>
      <x:c r="V16" s="28" t="n">
        <x:f t="shared" si="14"/>
        <x:v>73.57</x:v>
      </x:c>
      <x:c r="W16" s="28" t="n">
        <x:f t="shared" si="15">(V16+H16)*A16</x:f>
        <x:v>0</x:v>
      </x:c>
      <x:c r="X16" s="28" t="n">
        <x:v>521.92</x:v>
      </x:c>
      <x:c r="Y16" s="28" t="n">
        <x:f t="shared" si="16"/>
        <x:v>156.58</x:v>
      </x:c>
      <x:c r="Z16" s="28" t="n">
        <x:f t="shared" si="17">(Y16+H16)*A16</x:f>
        <x:v>0</x:v>
      </x:c>
      <x:c r="AA16" s="28" t="n">
        <x:v>266.22</x:v>
      </x:c>
      <x:c r="AB16" s="28" t="n">
        <x:f t="shared" si="18"/>
        <x:v>79.87</x:v>
      </x:c>
      <x:c r="AC16" s="28" t="n">
        <x:f t="shared" si="19">(AB16+H16)*A16</x:f>
        <x:v>0</x:v>
      </x:c>
      <x:c r="AD16" s="28" t="n">
        <x:v>306.27</x:v>
      </x:c>
      <x:c r="AE16" s="28" t="n">
        <x:f t="shared" si="20"/>
        <x:v>91.88</x:v>
      </x:c>
      <x:c r="AF16" s="29" t="n">
        <x:f t="shared" si="21">(AE16+H16)*A16</x:f>
        <x:v>0</x:v>
      </x:c>
    </x:row>
    <x:row r="17">
      <x:c r="A17" s="26"/>
      <x:c r="B17" s="27" t="s">
        <x:v>41</x:v>
      </x:c>
      <x:c r="C17" s="27" t="s">
        <x:v>42</x:v>
      </x:c>
      <x:c r="D17" s="28" t="n">
        <x:v>723.46</x:v>
      </x:c>
      <x:c r="E17" s="28" t="n">
        <x:f t="shared" si="1"/>
        <x:v>217.04</x:v>
      </x:c>
      <x:c r="F17" s="28" t="n">
        <x:f t="shared" si="2">E17*A17</x:f>
        <x:v>0</x:v>
      </x:c>
      <x:c r="G17" s="28" t="n">
        <x:v>466.92</x:v>
      </x:c>
      <x:c r="H17" s="28" t="n">
        <x:f t="shared" si="3"/>
        <x:v>140.08</x:v>
      </x:c>
      <x:c r="I17" s="28" t="n">
        <x:v>295.6</x:v>
      </x:c>
      <x:c r="J17" s="28" t="n">
        <x:f t="shared" si="4"/>
        <x:v>88.68</x:v>
      </x:c>
      <x:c r="K17" s="28" t="n">
        <x:f t="shared" si="5">(J17+H17)*A17</x:f>
        <x:v>0</x:v>
      </x:c>
      <x:c r="L17" s="28" t="n">
        <x:v>265.34</x:v>
      </x:c>
      <x:c r="M17" s="28" t="n">
        <x:f t="shared" si="6"/>
        <x:v>68.99</x:v>
      </x:c>
      <x:c r="N17" s="28" t="n">
        <x:f t="shared" si="7">(M17+H17)*A17</x:f>
        <x:v>0</x:v>
      </x:c>
      <x:c r="O17" s="28"/>
      <x:c r="P17" s="28" t="n">
        <x:f t="shared" si="8"/>
        <x:v>0</x:v>
      </x:c>
      <x:c r="Q17" s="28" t="n">
        <x:f t="shared" si="9">(P17+H17)*A17</x:f>
        <x:v>0</x:v>
      </x:c>
      <x:c r="R17" s="28" t="n">
        <x:f t="shared" si="10"/>
        <x:v>265.34</x:v>
      </x:c>
      <x:c r="S17" s="28" t="n">
        <x:f t="shared" si="11"/>
        <x:v>79.6</x:v>
      </x:c>
      <x:c r="T17" s="28" t="n">
        <x:f t="shared" si="12">(S17+H17)*A17</x:f>
        <x:v>0</x:v>
      </x:c>
      <x:c r="U17" s="28" t="n">
        <x:f t="shared" si="13"/>
        <x:v>265.34</x:v>
      </x:c>
      <x:c r="V17" s="28" t="n">
        <x:f t="shared" si="14"/>
        <x:v>79.6</x:v>
      </x:c>
      <x:c r="W17" s="28" t="n">
        <x:f t="shared" si="15">(V17+H17)*A17</x:f>
        <x:v>0</x:v>
      </x:c>
      <x:c r="X17" s="28"/>
      <x:c r="Y17" s="28" t="n">
        <x:f t="shared" si="16"/>
        <x:v>0</x:v>
      </x:c>
      <x:c r="Z17" s="28" t="n">
        <x:f t="shared" si="17">(Y17+H17)*A17</x:f>
        <x:v>0</x:v>
      </x:c>
      <x:c r="AA17" s="28" t="n">
        <x:v>313.49</x:v>
      </x:c>
      <x:c r="AB17" s="28" t="n">
        <x:f t="shared" si="18"/>
        <x:v>94.05</x:v>
      </x:c>
      <x:c r="AC17" s="28" t="n">
        <x:f t="shared" si="19">(AB17+H17)*A17</x:f>
        <x:v>0</x:v>
      </x:c>
      <x:c r="AD17" s="28" t="n">
        <x:v>350.25</x:v>
      </x:c>
      <x:c r="AE17" s="28" t="n">
        <x:f t="shared" si="20"/>
        <x:v>105.07</x:v>
      </x:c>
      <x:c r="AF17" s="29" t="n">
        <x:f t="shared" si="21">(AE17+H17)*A17</x:f>
        <x:v>0</x:v>
      </x:c>
    </x:row>
    <x:row r="18">
      <x:c r="A18" s="26"/>
      <x:c r="B18" s="27" t="s">
        <x:v>43</x:v>
      </x:c>
      <x:c r="C18" s="27" t="s">
        <x:v>44</x:v>
      </x:c>
      <x:c r="D18" s="28" t="n">
        <x:v>752.23</x:v>
      </x:c>
      <x:c r="E18" s="28" t="n">
        <x:f t="shared" si="1"/>
        <x:v>225.67</x:v>
      </x:c>
      <x:c r="F18" s="28" t="n">
        <x:f t="shared" si="2">E18*A18</x:f>
        <x:v>0</x:v>
      </x:c>
      <x:c r="G18" s="28" t="n">
        <x:v>471.65</x:v>
      </x:c>
      <x:c r="H18" s="28" t="n">
        <x:f t="shared" si="3"/>
        <x:v>141.5</x:v>
      </x:c>
      <x:c r="I18" s="28" t="n">
        <x:v>326.8</x:v>
      </x:c>
      <x:c r="J18" s="28" t="n">
        <x:f t="shared" si="4"/>
        <x:v>98.04</x:v>
      </x:c>
      <x:c r="K18" s="28" t="n">
        <x:f t="shared" si="5">(J18+H18)*A18</x:f>
        <x:v>0</x:v>
      </x:c>
      <x:c r="L18" s="28" t="n">
        <x:v>288.84</x:v>
      </x:c>
      <x:c r="M18" s="28" t="n">
        <x:f t="shared" si="6"/>
        <x:v>75.1</x:v>
      </x:c>
      <x:c r="N18" s="28" t="n">
        <x:f t="shared" si="7">(M18+H18)*A18</x:f>
        <x:v>0</x:v>
      </x:c>
      <x:c r="O18" s="28" t="n">
        <x:v>285.15</x:v>
      </x:c>
      <x:c r="P18" s="28" t="n">
        <x:f t="shared" si="8"/>
        <x:v>85.54</x:v>
      </x:c>
      <x:c r="Q18" s="28" t="n">
        <x:f t="shared" si="9">(P18+H18)*A18</x:f>
        <x:v>0</x:v>
      </x:c>
      <x:c r="R18" s="28" t="n">
        <x:f t="shared" si="10"/>
        <x:v>288.84</x:v>
      </x:c>
      <x:c r="S18" s="28" t="n">
        <x:f t="shared" si="11"/>
        <x:v>86.65</x:v>
      </x:c>
      <x:c r="T18" s="28" t="n">
        <x:f t="shared" si="12">(S18+H18)*A18</x:f>
        <x:v>0</x:v>
      </x:c>
      <x:c r="U18" s="28" t="n">
        <x:f t="shared" si="13"/>
        <x:v>288.84</x:v>
      </x:c>
      <x:c r="V18" s="28" t="n">
        <x:f t="shared" si="14"/>
        <x:v>86.65</x:v>
      </x:c>
      <x:c r="W18" s="28" t="n">
        <x:f t="shared" si="15">(V18+H18)*A18</x:f>
        <x:v>0</x:v>
      </x:c>
      <x:c r="X18" s="28" t="n">
        <x:v>313.49</x:v>
      </x:c>
      <x:c r="Y18" s="28" t="n">
        <x:f t="shared" si="16"/>
        <x:v>94.05</x:v>
      </x:c>
      <x:c r="Z18" s="28" t="n">
        <x:f t="shared" si="17">(Y18+H18)*A18</x:f>
        <x:v>0</x:v>
      </x:c>
      <x:c r="AA18" s="28" t="n">
        <x:v>313.49</x:v>
      </x:c>
      <x:c r="AB18" s="28" t="n">
        <x:f t="shared" si="18"/>
        <x:v>94.05</x:v>
      </x:c>
      <x:c r="AC18" s="28" t="n">
        <x:f t="shared" si="19">(AB18+H18)*A18</x:f>
        <x:v>0</x:v>
      </x:c>
      <x:c r="AD18" s="28" t="n">
        <x:v>350.25</x:v>
      </x:c>
      <x:c r="AE18" s="28" t="n">
        <x:f t="shared" si="20"/>
        <x:v>105.07</x:v>
      </x:c>
      <x:c r="AF18" s="29" t="n">
        <x:f t="shared" si="21">(AE18+H18)*A18</x:f>
        <x:v>0</x:v>
      </x:c>
    </x:row>
    <x:row r="19">
      <x:c r="A19" s="26"/>
      <x:c r="B19" s="27" t="s">
        <x:v>45</x:v>
      </x:c>
      <x:c r="C19" s="27" t="s">
        <x:v>46</x:v>
      </x:c>
      <x:c r="D19" s="28" t="n">
        <x:v>541.77</x:v>
      </x:c>
      <x:c r="E19" s="28" t="n">
        <x:f t="shared" si="1"/>
        <x:v>162.53</x:v>
      </x:c>
      <x:c r="F19" s="28" t="n">
        <x:f t="shared" si="2">E19*A19</x:f>
        <x:v>0</x:v>
      </x:c>
      <x:c r="G19" s="28" t="n">
        <x:v>317.05</x:v>
      </x:c>
      <x:c r="H19" s="28" t="n">
        <x:f t="shared" si="3"/>
        <x:v>95.12</x:v>
      </x:c>
      <x:c r="I19" s="28" t="n">
        <x:v>264.01</x:v>
      </x:c>
      <x:c r="J19" s="28" t="n">
        <x:f t="shared" si="4"/>
        <x:v>79.2</x:v>
      </x:c>
      <x:c r="K19" s="28" t="n">
        <x:f t="shared" si="5">(J19+H19)*A19</x:f>
        <x:v>0</x:v>
      </x:c>
      <x:c r="L19" s="28" t="n">
        <x:v>231.13</x:v>
      </x:c>
      <x:c r="M19" s="28" t="n">
        <x:f t="shared" si="6"/>
        <x:v>60.09</x:v>
      </x:c>
      <x:c r="N19" s="28" t="n">
        <x:f t="shared" si="7">(M19+H19)*A19</x:f>
        <x:v>0</x:v>
      </x:c>
      <x:c r="O19" s="28" t="n">
        <x:v>239.44</x:v>
      </x:c>
      <x:c r="P19" s="28" t="n">
        <x:f t="shared" si="8"/>
        <x:v>71.83</x:v>
      </x:c>
      <x:c r="Q19" s="28" t="n">
        <x:f t="shared" si="9">(P19+H19)*A19</x:f>
        <x:v>0</x:v>
      </x:c>
      <x:c r="R19" s="28" t="n">
        <x:f t="shared" si="10"/>
        <x:v>231.13</x:v>
      </x:c>
      <x:c r="S19" s="28" t="n">
        <x:f t="shared" si="11"/>
        <x:v>69.34</x:v>
      </x:c>
      <x:c r="T19" s="28" t="n">
        <x:f t="shared" si="12">(S19+H19)*A19</x:f>
        <x:v>0</x:v>
      </x:c>
      <x:c r="U19" s="28" t="n">
        <x:f t="shared" si="13"/>
        <x:v>231.13</x:v>
      </x:c>
      <x:c r="V19" s="28" t="n">
        <x:f t="shared" si="14"/>
        <x:v>69.34</x:v>
      </x:c>
      <x:c r="W19" s="28" t="n">
        <x:f t="shared" si="15">(V19+H19)*A19</x:f>
        <x:v>0</x:v>
      </x:c>
      <x:c r="X19" s="28" t="n">
        <x:v>400.87</x:v>
      </x:c>
      <x:c r="Y19" s="28" t="n">
        <x:f t="shared" si="16"/>
        <x:v>120.26</x:v>
      </x:c>
      <x:c r="Z19" s="28" t="n">
        <x:f t="shared" si="17">(Y19+H19)*A19</x:f>
        <x:v>0</x:v>
      </x:c>
      <x:c r="AA19" s="28" t="n">
        <x:v>249.76</x:v>
      </x:c>
      <x:c r="AB19" s="28" t="n">
        <x:f t="shared" si="18"/>
        <x:v>74.93</x:v>
      </x:c>
      <x:c r="AC19" s="28" t="n">
        <x:f t="shared" si="19">(AB19+H19)*A19</x:f>
        <x:v>0</x:v>
      </x:c>
      <x:c r="AD19" s="28" t="n">
        <x:v>280.12</x:v>
      </x:c>
      <x:c r="AE19" s="28" t="n">
        <x:f t="shared" si="20"/>
        <x:v>84.03</x:v>
      </x:c>
      <x:c r="AF19" s="29" t="n">
        <x:f t="shared" si="21">(AE19+H19)*A19</x:f>
        <x:v>0</x:v>
      </x:c>
    </x:row>
    <x:row r="20">
      <x:c r="A20" s="26"/>
      <x:c r="B20" s="27" t="s">
        <x:v>47</x:v>
      </x:c>
      <x:c r="C20" s="27" t="s">
        <x:v>48</x:v>
      </x:c>
      <x:c r="D20" s="28" t="n">
        <x:v>568.85</x:v>
      </x:c>
      <x:c r="E20" s="28" t="n">
        <x:f t="shared" si="1"/>
        <x:v>170.66</x:v>
      </x:c>
      <x:c r="F20" s="28" t="n">
        <x:f t="shared" si="2">E20*A20</x:f>
        <x:v>0</x:v>
      </x:c>
      <x:c r="G20" s="28" t="n">
        <x:v>332.91</x:v>
      </x:c>
      <x:c r="H20" s="28" t="n">
        <x:f t="shared" si="3"/>
        <x:v>99.87</x:v>
      </x:c>
      <x:c r="I20" s="28" t="n">
        <x:v>276.75</x:v>
      </x:c>
      <x:c r="J20" s="28" t="n">
        <x:f t="shared" si="4"/>
        <x:v>83.03</x:v>
      </x:c>
      <x:c r="K20" s="28" t="n">
        <x:f t="shared" si="5">(J20+H20)*A20</x:f>
        <x:v>0</x:v>
      </x:c>
      <x:c r="L20" s="28" t="n">
        <x:v>242.54</x:v>
      </x:c>
      <x:c r="M20" s="28" t="n">
        <x:f t="shared" si="6"/>
        <x:v>63.06</x:v>
      </x:c>
      <x:c r="N20" s="28" t="n">
        <x:f t="shared" si="7">(M20+H20)*A20</x:f>
        <x:v>0</x:v>
      </x:c>
      <x:c r="O20" s="28" t="n">
        <x:v>240.08</x:v>
      </x:c>
      <x:c r="P20" s="28" t="n">
        <x:f t="shared" si="8"/>
        <x:v>72.02</x:v>
      </x:c>
      <x:c r="Q20" s="28" t="n">
        <x:f t="shared" si="9">(P20+H20)*A20</x:f>
        <x:v>0</x:v>
      </x:c>
      <x:c r="R20" s="28" t="n">
        <x:f t="shared" si="10"/>
        <x:v>242.54</x:v>
      </x:c>
      <x:c r="S20" s="28" t="n">
        <x:f t="shared" si="11"/>
        <x:v>72.76</x:v>
      </x:c>
      <x:c r="T20" s="28" t="n">
        <x:f t="shared" si="12">(S20+H20)*A20</x:f>
        <x:v>0</x:v>
      </x:c>
      <x:c r="U20" s="28" t="n">
        <x:f t="shared" si="13"/>
        <x:v>242.54</x:v>
      </x:c>
      <x:c r="V20" s="28" t="n">
        <x:f t="shared" si="14"/>
        <x:v>72.76</x:v>
      </x:c>
      <x:c r="W20" s="28" t="n">
        <x:f t="shared" si="15">(V20+H20)*A20</x:f>
        <x:v>0</x:v>
      </x:c>
      <x:c r="X20" s="28"/>
      <x:c r="Y20" s="28" t="n">
        <x:f t="shared" si="16"/>
        <x:v>0</x:v>
      </x:c>
      <x:c r="Z20" s="28" t="n">
        <x:f t="shared" si="17">(Y20+H20)*A20</x:f>
        <x:v>0</x:v>
      </x:c>
      <x:c r="AA20" s="28" t="n">
        <x:v>262.27</x:v>
      </x:c>
      <x:c r="AB20" s="28" t="n">
        <x:f t="shared" si="18"/>
        <x:v>78.68</x:v>
      </x:c>
      <x:c r="AC20" s="28" t="n">
        <x:f t="shared" si="19">(AB20+H20)*A20</x:f>
        <x:v>0</x:v>
      </x:c>
      <x:c r="AD20" s="28" t="n">
        <x:v>293.63</x:v>
      </x:c>
      <x:c r="AE20" s="28" t="n">
        <x:f t="shared" si="20"/>
        <x:v>88.09</x:v>
      </x:c>
      <x:c r="AF20" s="29" t="n">
        <x:f t="shared" si="21">(AE20+H20)*A20</x:f>
        <x:v>0</x:v>
      </x:c>
    </x:row>
    <x:row r="21" ht="15.75" customHeight="1">
      <x:c r="A21" s="26"/>
      <x:c r="B21" s="27" t="s">
        <x:v>49</x:v>
      </x:c>
      <x:c r="C21" s="27" t="s">
        <x:v>50</x:v>
      </x:c>
      <x:c r="D21" s="28" t="n">
        <x:v>584.5</x:v>
      </x:c>
      <x:c r="E21" s="28" t="n">
        <x:f t="shared" si="1"/>
        <x:v>175.35</x:v>
      </x:c>
      <x:c r="F21" s="28" t="n">
        <x:f t="shared" si="2">E21*A21</x:f>
        <x:v>0</x:v>
      </x:c>
      <x:c r="G21" s="28" t="n">
        <x:v>348.33</x:v>
      </x:c>
      <x:c r="H21" s="28" t="n">
        <x:f t="shared" si="3"/>
        <x:v>104.5</x:v>
      </x:c>
      <x:c r="I21" s="28" t="n">
        <x:v>278.77</x:v>
      </x:c>
      <x:c r="J21" s="28" t="n">
        <x:f t="shared" si="4"/>
        <x:v>83.63</x:v>
      </x:c>
      <x:c r="K21" s="28" t="n">
        <x:f t="shared" si="5">(J21+H21)*A21</x:f>
        <x:v>0</x:v>
      </x:c>
      <x:c r="L21" s="28" t="n">
        <x:v>243.21</x:v>
      </x:c>
      <x:c r="M21" s="28" t="n">
        <x:f t="shared" si="6"/>
        <x:v>63.23</x:v>
      </x:c>
      <x:c r="N21" s="28" t="n">
        <x:f t="shared" si="7">(M21+H21)*A21</x:f>
        <x:v>0</x:v>
      </x:c>
      <x:c r="O21" s="28" t="n">
        <x:v>240.08</x:v>
      </x:c>
      <x:c r="P21" s="28" t="n">
        <x:f t="shared" si="8"/>
        <x:v>72.02</x:v>
      </x:c>
      <x:c r="Q21" s="28" t="n">
        <x:f t="shared" si="9">(P21+H21)*A21</x:f>
        <x:v>0</x:v>
      </x:c>
      <x:c r="R21" s="28" t="n">
        <x:f t="shared" si="10"/>
        <x:v>243.21</x:v>
      </x:c>
      <x:c r="S21" s="28" t="n">
        <x:f t="shared" si="11"/>
        <x:v>72.96</x:v>
      </x:c>
      <x:c r="T21" s="28" t="n">
        <x:f t="shared" si="12">(S21+H21)*A21</x:f>
        <x:v>0</x:v>
      </x:c>
      <x:c r="U21" s="28" t="n">
        <x:f t="shared" si="13"/>
        <x:v>243.21</x:v>
      </x:c>
      <x:c r="V21" s="28" t="n">
        <x:f t="shared" si="14"/>
        <x:v>72.96</x:v>
      </x:c>
      <x:c r="W21" s="28" t="n">
        <x:f t="shared" si="15">(V21+H21)*A21</x:f>
        <x:v>0</x:v>
      </x:c>
      <x:c r="X21" s="28" t="n">
        <x:v>442.46</x:v>
      </x:c>
      <x:c r="Y21" s="28" t="n">
        <x:f t="shared" si="16"/>
        <x:v>132.74</x:v>
      </x:c>
      <x:c r="Z21" s="28" t="n">
        <x:f t="shared" si="17">(Y21+H21)*A21</x:f>
        <x:v>0</x:v>
      </x:c>
      <x:c r="AA21" s="28" t="n">
        <x:v>262.81</x:v>
      </x:c>
      <x:c r="AB21" s="28" t="n">
        <x:f t="shared" si="18"/>
        <x:v>78.84</x:v>
      </x:c>
      <x:c r="AC21" s="28" t="n">
        <x:f t="shared" si="19">(AB21+H21)*A21</x:f>
        <x:v>0</x:v>
      </x:c>
      <x:c r="AD21" s="28" t="n">
        <x:v>295.28</x:v>
      </x:c>
      <x:c r="AE21" s="28" t="n">
        <x:f t="shared" si="20"/>
        <x:v>88.58</x:v>
      </x:c>
      <x:c r="AF21" s="29" t="n">
        <x:f t="shared" si="21">(AE21+H21)*A21</x:f>
        <x:v>0</x:v>
      </x:c>
    </x:row>
    <x:row r="22" ht="15.75" customHeight="1">
      <x:c r="A22" s="26"/>
      <x:c r="B22" s="27" t="s">
        <x:v>51</x:v>
      </x:c>
      <x:c r="C22" s="27" t="s">
        <x:v>52</x:v>
      </x:c>
      <x:c r="D22" s="28" t="n">
        <x:v>800.21</x:v>
      </x:c>
      <x:c r="E22" s="28" t="n">
        <x:f t="shared" si="1"/>
        <x:v>240.06</x:v>
      </x:c>
      <x:c r="F22" s="28" t="n">
        <x:f t="shared" si="2">E22*A22</x:f>
        <x:v>0</x:v>
      </x:c>
      <x:c r="G22" s="28" t="n">
        <x:v>575.23</x:v>
      </x:c>
      <x:c r="H22" s="28" t="n">
        <x:f t="shared" si="3"/>
        <x:v>172.57</x:v>
      </x:c>
      <x:c r="I22" s="28" t="n">
        <x:v>281.52</x:v>
      </x:c>
      <x:c r="J22" s="28" t="n">
        <x:f t="shared" si="4"/>
        <x:v>84.46</x:v>
      </x:c>
      <x:c r="K22" s="28" t="n">
        <x:f t="shared" si="5">(J22+H22)*A22</x:f>
        <x:v>0</x:v>
      </x:c>
      <x:c r="L22" s="28" t="n">
        <x:v>233.82</x:v>
      </x:c>
      <x:c r="M22" s="28" t="n">
        <x:f t="shared" si="6"/>
        <x:v>60.79</x:v>
      </x:c>
      <x:c r="N22" s="28" t="n">
        <x:f t="shared" si="7">(M22+H22)*A22</x:f>
        <x:v>0</x:v>
      </x:c>
      <x:c r="O22" s="28" t="n">
        <x:v>230.77</x:v>
      </x:c>
      <x:c r="P22" s="28" t="n">
        <x:f t="shared" si="8"/>
        <x:v>69.23</x:v>
      </x:c>
      <x:c r="Q22" s="28" t="n">
        <x:f t="shared" si="9">(P22+H22)*A22</x:f>
        <x:v>0</x:v>
      </x:c>
      <x:c r="R22" s="28" t="n">
        <x:f t="shared" si="10"/>
        <x:v>233.82</x:v>
      </x:c>
      <x:c r="S22" s="28" t="n">
        <x:f t="shared" si="11"/>
        <x:v>70.15</x:v>
      </x:c>
      <x:c r="T22" s="28" t="n">
        <x:f t="shared" si="12">(S22+H22)*A22</x:f>
        <x:v>0</x:v>
      </x:c>
      <x:c r="U22" s="28" t="n">
        <x:f t="shared" si="13"/>
        <x:v>233.82</x:v>
      </x:c>
      <x:c r="V22" s="28" t="n">
        <x:f t="shared" si="14"/>
        <x:v>70.15</x:v>
      </x:c>
      <x:c r="W22" s="28" t="n">
        <x:f t="shared" si="15">(V22+H22)*A22</x:f>
        <x:v>0</x:v>
      </x:c>
      <x:c r="X22" s="28" t="n">
        <x:v>276.05</x:v>
      </x:c>
      <x:c r="Y22" s="28" t="n">
        <x:f t="shared" si="16"/>
        <x:v>82.81</x:v>
      </x:c>
      <x:c r="Z22" s="28" t="n">
        <x:f t="shared" si="17">(Y22+H22)*A22</x:f>
        <x:v>0</x:v>
      </x:c>
      <x:c r="AA22" s="28" t="n">
        <x:v>261.43</x:v>
      </x:c>
      <x:c r="AB22" s="28" t="n">
        <x:f t="shared" si="18"/>
        <x:v>78.43</x:v>
      </x:c>
      <x:c r="AC22" s="28" t="n">
        <x:f t="shared" si="19">(AB22+H22)*A22</x:f>
        <x:v>0</x:v>
      </x:c>
      <x:c r="AD22" s="28" t="n">
        <x:v>180.11</x:v>
      </x:c>
      <x:c r="AE22" s="28" t="n">
        <x:f t="shared" si="20"/>
        <x:v>54.03</x:v>
      </x:c>
      <x:c r="AF22" s="29" t="n">
        <x:f t="shared" si="21">(AE22+H22)*A22</x:f>
        <x:v>0</x:v>
      </x:c>
    </x:row>
    <x:row r="23" ht="15" customHeight="1">
      <x:c r="A23" s="26"/>
      <x:c r="B23" s="27" t="s">
        <x:v>53</x:v>
      </x:c>
      <x:c r="C23" s="27" t="s">
        <x:v>54</x:v>
      </x:c>
      <x:c r="D23" s="28" t="n">
        <x:v>871</x:v>
      </x:c>
      <x:c r="E23" s="28" t="n">
        <x:f t="shared" si="1"/>
        <x:v>261.3</x:v>
      </x:c>
      <x:c r="F23" s="28" t="n">
        <x:f t="shared" si="2">E23*A23</x:f>
        <x:v>0</x:v>
      </x:c>
      <x:c r="G23" s="28" t="n">
        <x:v>587.39</x:v>
      </x:c>
      <x:c r="H23" s="28" t="n">
        <x:f t="shared" si="3"/>
        <x:v>176.22</x:v>
      </x:c>
      <x:c r="I23" s="28" t="n">
        <x:v>344.85</x:v>
      </x:c>
      <x:c r="J23" s="28" t="n">
        <x:f t="shared" si="4"/>
        <x:v>103.45</x:v>
      </x:c>
      <x:c r="K23" s="28" t="n">
        <x:f t="shared" si="5">(J23+H23)*A23</x:f>
        <x:v>0</x:v>
      </x:c>
      <x:c r="L23" s="28" t="n">
        <x:v>292.85</x:v>
      </x:c>
      <x:c r="M23" s="28" t="n">
        <x:f t="shared" si="6"/>
        <x:v>76.14</x:v>
      </x:c>
      <x:c r="N23" s="28" t="n">
        <x:f t="shared" si="7">(M23+H23)*A23</x:f>
        <x:v>0</x:v>
      </x:c>
      <x:c r="O23" s="28" t="n">
        <x:v>289.05</x:v>
      </x:c>
      <x:c r="P23" s="28" t="n">
        <x:f t="shared" si="8"/>
        <x:v>86.72</x:v>
      </x:c>
      <x:c r="Q23" s="28" t="n">
        <x:f t="shared" si="9">(P23+H23)*A23</x:f>
        <x:v>0</x:v>
      </x:c>
      <x:c r="R23" s="28" t="n">
        <x:f t="shared" si="10"/>
        <x:v>292.85</x:v>
      </x:c>
      <x:c r="S23" s="28" t="n">
        <x:f t="shared" si="11"/>
        <x:v>87.86</x:v>
      </x:c>
      <x:c r="T23" s="28" t="n">
        <x:f t="shared" si="12">(S23+H23)*A23</x:f>
        <x:v>0</x:v>
      </x:c>
      <x:c r="U23" s="28" t="n">
        <x:f t="shared" si="13"/>
        <x:v>292.85</x:v>
      </x:c>
      <x:c r="V23" s="28" t="n">
        <x:f t="shared" si="14"/>
        <x:v>87.86</x:v>
      </x:c>
      <x:c r="W23" s="28" t="n">
        <x:f t="shared" si="15">(V23+H23)*A23</x:f>
        <x:v>0</x:v>
      </x:c>
      <x:c r="X23" s="28" t="n">
        <x:v>333.5</x:v>
      </x:c>
      <x:c r="Y23" s="28" t="n">
        <x:f t="shared" si="16"/>
        <x:v>100.05</x:v>
      </x:c>
      <x:c r="Z23" s="28" t="n">
        <x:f t="shared" si="17">(Y23+H23)*A23</x:f>
        <x:v>0</x:v>
      </x:c>
      <x:c r="AA23" s="28" t="n">
        <x:v>322.06</x:v>
      </x:c>
      <x:c r="AB23" s="28" t="n">
        <x:f t="shared" si="18"/>
        <x:v>96.62</x:v>
      </x:c>
      <x:c r="AC23" s="28" t="n">
        <x:f t="shared" si="19">(AB23+H23)*A23</x:f>
        <x:v>0</x:v>
      </x:c>
      <x:c r="AD23" s="28" t="n">
        <x:v>371.35</x:v>
      </x:c>
      <x:c r="AE23" s="28" t="n">
        <x:f t="shared" si="20"/>
        <x:v>111.41</x:v>
      </x:c>
      <x:c r="AF23" s="29" t="n">
        <x:f t="shared" si="21">(AE23+H23)*A23</x:f>
        <x:v>0</x:v>
      </x:c>
    </x:row>
    <x:row r="24" ht="15.75" customHeight="1">
      <x:c r="A24" s="26"/>
      <x:c r="B24" s="27" t="s">
        <x:v>55</x:v>
      </x:c>
      <x:c r="C24" s="27" t="s">
        <x:v>56</x:v>
      </x:c>
      <x:c r="D24" s="28" t="n">
        <x:v>342.04</x:v>
      </x:c>
      <x:c r="E24" s="28" t="n">
        <x:f t="shared" si="1"/>
        <x:v>102.61</x:v>
      </x:c>
      <x:c r="F24" s="28" t="n">
        <x:f t="shared" si="2">E24*A24</x:f>
        <x:v>0</x:v>
      </x:c>
      <x:c r="G24" s="28"/>
      <x:c r="H24" s="28" t="n">
        <x:f t="shared" si="3"/>
        <x:v>0</x:v>
      </x:c>
      <x:c r="I24" s="28" t="n">
        <x:v>362.57</x:v>
      </x:c>
      <x:c r="J24" s="28" t="n">
        <x:f t="shared" si="4"/>
        <x:v>108.77</x:v>
      </x:c>
      <x:c r="K24" s="28" t="n">
        <x:f t="shared" si="5">(J24+H24)*A24</x:f>
        <x:v>0</x:v>
      </x:c>
      <x:c r="L24" s="28" t="n">
        <x:v>342.04</x:v>
      </x:c>
      <x:c r="M24" s="28" t="n">
        <x:f t="shared" si="6"/>
        <x:v>88.93</x:v>
      </x:c>
      <x:c r="N24" s="28" t="n">
        <x:f t="shared" si="7">(M24+H24)*A24</x:f>
        <x:v>0</x:v>
      </x:c>
      <x:c r="O24" s="28" t="n">
        <x:v>346.51</x:v>
      </x:c>
      <x:c r="P24" s="28" t="n">
        <x:f t="shared" si="8"/>
        <x:v>103.95</x:v>
      </x:c>
      <x:c r="Q24" s="28" t="n">
        <x:f t="shared" si="9">(P24+H24)*A24</x:f>
        <x:v>0</x:v>
      </x:c>
      <x:c r="R24" s="28" t="n">
        <x:f t="shared" si="10"/>
        <x:v>342.04</x:v>
      </x:c>
      <x:c r="S24" s="28" t="n">
        <x:f t="shared" si="11"/>
        <x:v>102.61</x:v>
      </x:c>
      <x:c r="T24" s="28" t="n">
        <x:f t="shared" si="12">(S24+H24)*A24</x:f>
        <x:v>0</x:v>
      </x:c>
      <x:c r="U24" s="28" t="n">
        <x:f t="shared" si="13"/>
        <x:v>342.04</x:v>
      </x:c>
      <x:c r="V24" s="28" t="n">
        <x:f t="shared" si="14"/>
        <x:v>102.61</x:v>
      </x:c>
      <x:c r="W24" s="28" t="n">
        <x:f t="shared" si="15">(V24+H24)*A24</x:f>
        <x:v>0</x:v>
      </x:c>
      <x:c r="X24" s="28" t="n">
        <x:v>496.19</x:v>
      </x:c>
      <x:c r="Y24" s="28" t="n">
        <x:f t="shared" si="16"/>
        <x:v>148.86</x:v>
      </x:c>
      <x:c r="Z24" s="28" t="n">
        <x:f t="shared" si="17">(Y24+H24)*A24</x:f>
        <x:v>0</x:v>
      </x:c>
      <x:c r="AA24" s="28" t="n">
        <x:v>362.57</x:v>
      </x:c>
      <x:c r="AB24" s="28" t="n">
        <x:f t="shared" si="18"/>
        <x:v>108.77</x:v>
      </x:c>
      <x:c r="AC24" s="28" t="n">
        <x:f t="shared" si="19">(AB24+H24)*A24</x:f>
        <x:v>0</x:v>
      </x:c>
      <x:c r="AD24" s="28" t="n">
        <x:v>372.76</x:v>
      </x:c>
      <x:c r="AE24" s="28" t="n">
        <x:f t="shared" si="20"/>
        <x:v>111.83</x:v>
      </x:c>
      <x:c r="AF24" s="29" t="n">
        <x:f t="shared" si="21">(AE24+H24)*A24</x:f>
        <x:v>0</x:v>
      </x:c>
    </x:row>
    <x:row r="25" ht="15" customHeight="1">
      <x:c r="A25" s="26"/>
      <x:c r="B25" s="27" t="s">
        <x:v>57</x:v>
      </x:c>
      <x:c r="C25" s="27" t="s">
        <x:v>58</x:v>
      </x:c>
      <x:c r="D25" s="28" t="n">
        <x:v>405.78</x:v>
      </x:c>
      <x:c r="E25" s="28" t="n">
        <x:f t="shared" si="1"/>
        <x:v>121.73</x:v>
      </x:c>
      <x:c r="F25" s="28" t="n">
        <x:f t="shared" si="2">E25*A25</x:f>
        <x:v>0</x:v>
      </x:c>
      <x:c r="G25" s="28" t="n">
        <x:v>405.8</x:v>
      </x:c>
      <x:c r="H25" s="28" t="n">
        <x:f t="shared" si="3"/>
        <x:v>121.74</x:v>
      </x:c>
      <x:c r="I25" s="28" t="n">
        <x:v>430.13</x:v>
      </x:c>
      <x:c r="J25" s="28" t="n">
        <x:f t="shared" si="4"/>
        <x:v>129.04</x:v>
      </x:c>
      <x:c r="K25" s="28" t="n">
        <x:f t="shared" si="5">(J25+H25)*A25</x:f>
        <x:v>0</x:v>
      </x:c>
      <x:c r="L25" s="28" t="n">
        <x:v>405.78</x:v>
      </x:c>
      <x:c r="M25" s="28" t="n">
        <x:f t="shared" si="6"/>
        <x:v>105.5</x:v>
      </x:c>
      <x:c r="N25" s="28" t="n">
        <x:f t="shared" si="7">(M25+H25)*A25</x:f>
        <x:v>0</x:v>
      </x:c>
      <x:c r="O25" s="28" t="n">
        <x:v>411.08</x:v>
      </x:c>
      <x:c r="P25" s="28" t="n">
        <x:f t="shared" si="8"/>
        <x:v>123.32</x:v>
      </x:c>
      <x:c r="Q25" s="28" t="n">
        <x:f t="shared" si="9">(P25+H25)*A25</x:f>
        <x:v>0</x:v>
      </x:c>
      <x:c r="R25" s="28" t="n">
        <x:f t="shared" si="10"/>
        <x:v>405.78</x:v>
      </x:c>
      <x:c r="S25" s="28" t="n">
        <x:f t="shared" si="11"/>
        <x:v>121.73</x:v>
      </x:c>
      <x:c r="T25" s="28" t="n">
        <x:f t="shared" si="12">(S25+H25)*A25</x:f>
        <x:v>0</x:v>
      </x:c>
      <x:c r="U25" s="28" t="n">
        <x:f t="shared" si="13"/>
        <x:v>405.78</x:v>
      </x:c>
      <x:c r="V25" s="28" t="n">
        <x:f t="shared" si="14"/>
        <x:v>121.73</x:v>
      </x:c>
      <x:c r="W25" s="28" t="n">
        <x:f t="shared" si="15">(V25+H25)*A25</x:f>
        <x:v>0</x:v>
      </x:c>
      <x:c r="X25" s="28" t="n">
        <x:v>611.6</x:v>
      </x:c>
      <x:c r="Y25" s="28" t="n">
        <x:f t="shared" si="16"/>
        <x:v>183.48</x:v>
      </x:c>
      <x:c r="Z25" s="28" t="n">
        <x:f t="shared" si="17">(Y25+H25)*A25</x:f>
        <x:v>0</x:v>
      </x:c>
      <x:c r="AA25" s="28" t="n">
        <x:v>430.13</x:v>
      </x:c>
      <x:c r="AB25" s="28" t="n">
        <x:f t="shared" si="18"/>
        <x:v>129.04</x:v>
      </x:c>
      <x:c r="AC25" s="28" t="n">
        <x:f t="shared" si="19">(AB25+H25)*A25</x:f>
        <x:v>0</x:v>
      </x:c>
      <x:c r="AD25" s="28" t="n">
        <x:v>442.27</x:v>
      </x:c>
      <x:c r="AE25" s="28" t="n">
        <x:f t="shared" si="20"/>
        <x:v>132.68</x:v>
      </x:c>
      <x:c r="AF25" s="29" t="n">
        <x:f t="shared" si="21">(AE25+H25)*A25</x:f>
        <x:v>0</x:v>
      </x:c>
    </x:row>
    <x:row r="26" ht="15.75" customHeight="1">
      <x:c r="A26" s="26"/>
      <x:c r="B26" s="27" t="s">
        <x:v>59</x:v>
      </x:c>
      <x:c r="C26" s="27" t="s">
        <x:v>60</x:v>
      </x:c>
      <x:c r="D26" s="28" t="n">
        <x:v>407.89</x:v>
      </x:c>
      <x:c r="E26" s="28" t="n">
        <x:f t="shared" si="1"/>
        <x:v>122.37</x:v>
      </x:c>
      <x:c r="F26" s="28" t="n">
        <x:f t="shared" si="2">E26*A26</x:f>
        <x:v>0</x:v>
      </x:c>
      <x:c r="G26" s="28"/>
      <x:c r="H26" s="28" t="n">
        <x:f t="shared" si="3"/>
        <x:v>0</x:v>
      </x:c>
      <x:c r="I26" s="28"/>
      <x:c r="J26" s="28" t="n">
        <x:f t="shared" si="4"/>
        <x:v>0</x:v>
      </x:c>
      <x:c r="K26" s="28" t="n">
        <x:f t="shared" si="5">(J26+H26)*A26</x:f>
        <x:v>0</x:v>
      </x:c>
      <x:c r="L26" s="28"/>
      <x:c r="M26" s="28" t="n">
        <x:f t="shared" si="6"/>
        <x:v>0</x:v>
      </x:c>
      <x:c r="N26" s="28" t="n">
        <x:f t="shared" si="7">(M26+H26)*A26</x:f>
        <x:v>0</x:v>
      </x:c>
      <x:c r="O26" s="28"/>
      <x:c r="P26" s="28" t="n">
        <x:f t="shared" si="8"/>
        <x:v>0</x:v>
      </x:c>
      <x:c r="Q26" s="28" t="n">
        <x:f t="shared" si="9">(P26+H26)*A26</x:f>
        <x:v>0</x:v>
      </x:c>
      <x:c r="R26" s="28" t="str">
        <x:f t="shared" si="10"/>
      </x:c>
      <x:c r="S26" s="28" t="n">
        <x:f t="shared" si="11"/>
        <x:v>0</x:v>
      </x:c>
      <x:c r="T26" s="28" t="n">
        <x:f t="shared" si="12">(S26+H26)*A26</x:f>
        <x:v>0</x:v>
      </x:c>
      <x:c r="U26" s="28" t="str">
        <x:f t="shared" si="13"/>
      </x:c>
      <x:c r="V26" s="28" t="n">
        <x:f t="shared" si="14"/>
        <x:v>0</x:v>
      </x:c>
      <x:c r="W26" s="28" t="n">
        <x:f t="shared" si="15">(V26+H26)*A26</x:f>
        <x:v>0</x:v>
      </x:c>
      <x:c r="X26" s="28"/>
      <x:c r="Y26" s="28" t="n">
        <x:f t="shared" si="16"/>
        <x:v>0</x:v>
      </x:c>
      <x:c r="Z26" s="28" t="n">
        <x:f t="shared" si="17">(Y26+H26)*A26</x:f>
        <x:v>0</x:v>
      </x:c>
      <x:c r="AA26" s="28"/>
      <x:c r="AB26" s="28" t="n">
        <x:f t="shared" si="18"/>
        <x:v>0</x:v>
      </x:c>
      <x:c r="AC26" s="28" t="n">
        <x:f t="shared" si="19">(AB26+H26)*A26</x:f>
        <x:v>0</x:v>
      </x:c>
      <x:c r="AD26" s="28"/>
      <x:c r="AE26" s="28" t="n">
        <x:f t="shared" si="20"/>
        <x:v>0</x:v>
      </x:c>
      <x:c r="AF26" s="29" t="n">
        <x:f t="shared" si="21">(AE26+H26)*A26</x:f>
        <x:v>0</x:v>
      </x:c>
    </x:row>
    <x:row r="27" ht="15.75" customHeight="1">
      <x:c r="A27" s="26"/>
      <x:c r="B27" s="27" t="s">
        <x:v>61</x:v>
      </x:c>
      <x:c r="C27" s="27" t="s">
        <x:v>61</x:v>
      </x:c>
      <x:c r="D27" s="28" t="n">
        <x:v>431.18</x:v>
      </x:c>
      <x:c r="E27" s="28" t="n">
        <x:f t="shared" si="1"/>
        <x:v>129.35</x:v>
      </x:c>
      <x:c r="F27" s="28" t="n">
        <x:f t="shared" si="2">E27*A27</x:f>
        <x:v>0</x:v>
      </x:c>
      <x:c r="G27" s="28"/>
      <x:c r="H27" s="28" t="n">
        <x:f t="shared" si="3"/>
        <x:v>0</x:v>
      </x:c>
      <x:c r="I27" s="28"/>
      <x:c r="J27" s="28" t="n">
        <x:f t="shared" si="4"/>
        <x:v>0</x:v>
      </x:c>
      <x:c r="K27" s="28" t="n">
        <x:f t="shared" si="5">(J27+H27)*A27</x:f>
        <x:v>0</x:v>
      </x:c>
      <x:c r="L27" s="28"/>
      <x:c r="M27" s="28" t="n">
        <x:f t="shared" si="6"/>
        <x:v>0</x:v>
      </x:c>
      <x:c r="N27" s="28" t="n">
        <x:f t="shared" si="7">(M27+H27)*A27</x:f>
        <x:v>0</x:v>
      </x:c>
      <x:c r="O27" s="28"/>
      <x:c r="P27" s="28" t="n">
        <x:f t="shared" si="8"/>
        <x:v>0</x:v>
      </x:c>
      <x:c r="Q27" s="28" t="n">
        <x:f t="shared" si="9">(P27+H27)*A27</x:f>
        <x:v>0</x:v>
      </x:c>
      <x:c r="R27" s="28" t="str">
        <x:f t="shared" si="10"/>
      </x:c>
      <x:c r="S27" s="28" t="n">
        <x:f t="shared" si="11"/>
        <x:v>0</x:v>
      </x:c>
      <x:c r="T27" s="28" t="n">
        <x:f t="shared" si="12">(S27+H27)*A27</x:f>
        <x:v>0</x:v>
      </x:c>
      <x:c r="U27" s="28" t="str">
        <x:f t="shared" si="13"/>
      </x:c>
      <x:c r="V27" s="28" t="n">
        <x:f t="shared" si="14"/>
        <x:v>0</x:v>
      </x:c>
      <x:c r="W27" s="28" t="n">
        <x:f t="shared" si="15">(V27+H27)*A27</x:f>
        <x:v>0</x:v>
      </x:c>
      <x:c r="X27" s="28"/>
      <x:c r="Y27" s="28" t="n">
        <x:f t="shared" si="16"/>
        <x:v>0</x:v>
      </x:c>
      <x:c r="Z27" s="28" t="n">
        <x:f t="shared" si="17">(Y27+H27)*A27</x:f>
        <x:v>0</x:v>
      </x:c>
      <x:c r="AA27" s="28"/>
      <x:c r="AB27" s="28" t="n">
        <x:f t="shared" si="18"/>
        <x:v>0</x:v>
      </x:c>
      <x:c r="AC27" s="28" t="n">
        <x:f t="shared" si="19">(AB27+H27)*A27</x:f>
        <x:v>0</x:v>
      </x:c>
      <x:c r="AD27" s="28"/>
      <x:c r="AE27" s="28" t="n">
        <x:f t="shared" si="20"/>
        <x:v>0</x:v>
      </x:c>
      <x:c r="AF27" s="29" t="n">
        <x:f t="shared" si="21">(AE27+H27)*A27</x:f>
        <x:v>0</x:v>
      </x:c>
    </x:row>
    <x:row r="28" ht="15.75" customHeight="1">
      <x:c r="A28" s="26"/>
      <x:c r="B28" s="27" t="s">
        <x:v>62</x:v>
      </x:c>
      <x:c r="C28" s="27" t="s">
        <x:v>63</x:v>
      </x:c>
      <x:c r="D28" s="28" t="n">
        <x:v>257.89</x:v>
      </x:c>
      <x:c r="E28" s="28" t="n">
        <x:f t="shared" si="1"/>
        <x:v>77.37</x:v>
      </x:c>
      <x:c r="F28" s="28" t="n">
        <x:f t="shared" si="2">E28*A28</x:f>
        <x:v>0</x:v>
      </x:c>
      <x:c r="G28" s="28"/>
      <x:c r="H28" s="28" t="n">
        <x:f t="shared" si="3"/>
        <x:v>0</x:v>
      </x:c>
      <x:c r="I28" s="28"/>
      <x:c r="J28" s="28" t="n">
        <x:f t="shared" si="4"/>
        <x:v>0</x:v>
      </x:c>
      <x:c r="K28" s="28" t="n">
        <x:f t="shared" si="5">(J28+H28)*A28</x:f>
        <x:v>0</x:v>
      </x:c>
      <x:c r="L28" s="28"/>
      <x:c r="M28" s="28" t="n">
        <x:f t="shared" si="6"/>
        <x:v>0</x:v>
      </x:c>
      <x:c r="N28" s="28" t="n">
        <x:f t="shared" si="7">(M28+H28)*A28</x:f>
        <x:v>0</x:v>
      </x:c>
      <x:c r="O28" s="28"/>
      <x:c r="P28" s="28" t="n">
        <x:f t="shared" si="8"/>
        <x:v>0</x:v>
      </x:c>
      <x:c r="Q28" s="28" t="n">
        <x:f t="shared" si="9">(P28+H28)*A28</x:f>
        <x:v>0</x:v>
      </x:c>
      <x:c r="R28" s="28" t="str">
        <x:f t="shared" si="10"/>
      </x:c>
      <x:c r="S28" s="28" t="n">
        <x:f t="shared" si="11"/>
        <x:v>0</x:v>
      </x:c>
      <x:c r="T28" s="28" t="n">
        <x:f t="shared" si="12">(S28+H28)*A28</x:f>
        <x:v>0</x:v>
      </x:c>
      <x:c r="U28" s="28" t="str">
        <x:f t="shared" si="13"/>
      </x:c>
      <x:c r="V28" s="28" t="n">
        <x:f t="shared" si="14"/>
        <x:v>0</x:v>
      </x:c>
      <x:c r="W28" s="28" t="n">
        <x:f t="shared" si="15">(V28+H28)*A28</x:f>
        <x:v>0</x:v>
      </x:c>
      <x:c r="X28" s="28"/>
      <x:c r="Y28" s="28" t="n">
        <x:f t="shared" si="16"/>
        <x:v>0</x:v>
      </x:c>
      <x:c r="Z28" s="28" t="n">
        <x:f t="shared" si="17">(Y28+H28)*A28</x:f>
        <x:v>0</x:v>
      </x:c>
      <x:c r="AA28" s="28"/>
      <x:c r="AB28" s="28" t="n">
        <x:f t="shared" si="18"/>
        <x:v>0</x:v>
      </x:c>
      <x:c r="AC28" s="28" t="n">
        <x:f t="shared" si="19">(AB28+H28)*A28</x:f>
        <x:v>0</x:v>
      </x:c>
      <x:c r="AD28" s="28"/>
      <x:c r="AE28" s="28" t="n">
        <x:f t="shared" si="20"/>
        <x:v>0</x:v>
      </x:c>
      <x:c r="AF28" s="29" t="n">
        <x:f t="shared" si="21">(AE28+H28)*A28</x:f>
        <x:v>0</x:v>
      </x:c>
    </x:row>
    <x:row r="29" ht="15.75" customHeight="1">
      <x:c r="A29" s="26"/>
      <x:c r="B29" s="27" t="s">
        <x:v>64</x:v>
      </x:c>
      <x:c r="C29" s="27" t="s">
        <x:v>65</x:v>
      </x:c>
      <x:c r="D29" s="28" t="n">
        <x:v>309.47</x:v>
      </x:c>
      <x:c r="E29" s="28" t="n">
        <x:f t="shared" si="1"/>
        <x:v>92.84</x:v>
      </x:c>
      <x:c r="F29" s="28" t="n">
        <x:f t="shared" si="2">E29*A29</x:f>
        <x:v>0</x:v>
      </x:c>
      <x:c r="G29" s="28"/>
      <x:c r="H29" s="28" t="n">
        <x:f t="shared" si="3"/>
        <x:v>0</x:v>
      </x:c>
      <x:c r="I29" s="28"/>
      <x:c r="J29" s="28" t="n">
        <x:f t="shared" si="4"/>
        <x:v>0</x:v>
      </x:c>
      <x:c r="K29" s="28" t="n">
        <x:f t="shared" si="5">(J29+H29)*A29</x:f>
        <x:v>0</x:v>
      </x:c>
      <x:c r="L29" s="28"/>
      <x:c r="M29" s="28" t="n">
        <x:f t="shared" si="6"/>
        <x:v>0</x:v>
      </x:c>
      <x:c r="N29" s="28" t="n">
        <x:f t="shared" si="7">(M29+H29)*A29</x:f>
        <x:v>0</x:v>
      </x:c>
      <x:c r="O29" s="28"/>
      <x:c r="P29" s="28" t="n">
        <x:f t="shared" si="8"/>
        <x:v>0</x:v>
      </x:c>
      <x:c r="Q29" s="28" t="n">
        <x:f t="shared" si="9">(P29+H29)*A29</x:f>
        <x:v>0</x:v>
      </x:c>
      <x:c r="R29" s="28" t="str">
        <x:f t="shared" si="10"/>
      </x:c>
      <x:c r="S29" s="28" t="n">
        <x:f t="shared" si="11"/>
        <x:v>0</x:v>
      </x:c>
      <x:c r="T29" s="28" t="n">
        <x:f t="shared" si="12">(S29+H29)*A29</x:f>
        <x:v>0</x:v>
      </x:c>
      <x:c r="U29" s="28" t="str">
        <x:f t="shared" si="13"/>
      </x:c>
      <x:c r="V29" s="28" t="n">
        <x:f t="shared" si="14"/>
        <x:v>0</x:v>
      </x:c>
      <x:c r="W29" s="28" t="n">
        <x:f t="shared" si="15">(V29+H29)*A29</x:f>
        <x:v>0</x:v>
      </x:c>
      <x:c r="X29" s="28"/>
      <x:c r="Y29" s="28" t="n">
        <x:f t="shared" si="16"/>
        <x:v>0</x:v>
      </x:c>
      <x:c r="Z29" s="28" t="n">
        <x:f t="shared" si="17">(Y29+H29)*A29</x:f>
        <x:v>0</x:v>
      </x:c>
      <x:c r="AA29" s="28"/>
      <x:c r="AB29" s="28" t="n">
        <x:f t="shared" si="18"/>
        <x:v>0</x:v>
      </x:c>
      <x:c r="AC29" s="28" t="n">
        <x:f t="shared" si="19">(AB29+H29)*A29</x:f>
        <x:v>0</x:v>
      </x:c>
      <x:c r="AD29" s="28"/>
      <x:c r="AE29" s="28" t="n">
        <x:f t="shared" si="20"/>
        <x:v>0</x:v>
      </x:c>
      <x:c r="AF29" s="29" t="n">
        <x:f t="shared" si="21">(AE29+H29)*A29</x:f>
        <x:v>0</x:v>
      </x:c>
    </x:row>
    <x:row r="30" ht="15.75" customHeight="1">
      <x:c r="A30" s="26"/>
      <x:c r="B30" s="27" t="s">
        <x:v>66</x:v>
      </x:c>
      <x:c r="C30" s="27" t="s">
        <x:v>67</x:v>
      </x:c>
      <x:c r="D30" s="28" t="n">
        <x:v>553.98</x:v>
      </x:c>
      <x:c r="E30" s="28" t="n">
        <x:f t="shared" si="1"/>
        <x:v>166.19</x:v>
      </x:c>
      <x:c r="F30" s="28" t="n">
        <x:f t="shared" si="2">E30*A30</x:f>
        <x:v>0</x:v>
      </x:c>
      <x:c r="G30" s="28" t="n">
        <x:v>358.24</x:v>
      </x:c>
      <x:c r="H30" s="28" t="n">
        <x:f t="shared" si="3"/>
        <x:v>107.47</x:v>
      </x:c>
      <x:c r="I30" s="28" t="n">
        <x:v>234.48</x:v>
      </x:c>
      <x:c r="J30" s="28" t="n">
        <x:f t="shared" si="4"/>
        <x:v>70.35</x:v>
      </x:c>
      <x:c r="K30" s="28" t="n">
        <x:f t="shared" si="5">(J30+H30)*A30</x:f>
        <x:v>0</x:v>
      </x:c>
      <x:c r="L30" s="28" t="n">
        <x:v>201.94</x:v>
      </x:c>
      <x:c r="M30" s="28" t="n">
        <x:f t="shared" si="6"/>
        <x:v>52.5</x:v>
      </x:c>
      <x:c r="N30" s="28" t="n">
        <x:f t="shared" si="7">(M30+H30)*A30</x:f>
        <x:v>0</x:v>
      </x:c>
      <x:c r="O30" s="28" t="n">
        <x:v>199.32</x:v>
      </x:c>
      <x:c r="P30" s="28" t="n">
        <x:f t="shared" si="8"/>
        <x:v>59.8</x:v>
      </x:c>
      <x:c r="Q30" s="28" t="n">
        <x:f t="shared" si="9">(P30+H30)*A30</x:f>
        <x:v>0</x:v>
      </x:c>
      <x:c r="R30" s="28" t="n">
        <x:f t="shared" si="10"/>
        <x:v>201.94</x:v>
      </x:c>
      <x:c r="S30" s="28" t="n">
        <x:f t="shared" si="11"/>
        <x:v>60.58</x:v>
      </x:c>
      <x:c r="T30" s="28" t="n">
        <x:f t="shared" si="12">(S30+H30)*A30</x:f>
        <x:v>0</x:v>
      </x:c>
      <x:c r="U30" s="28" t="n">
        <x:f t="shared" si="13"/>
        <x:v>201.94</x:v>
      </x:c>
      <x:c r="V30" s="28" t="n">
        <x:f t="shared" si="14"/>
        <x:v>60.58</x:v>
      </x:c>
      <x:c r="W30" s="28" t="n">
        <x:f t="shared" si="15">(V30+H30)*A30</x:f>
        <x:v>0</x:v>
      </x:c>
      <x:c r="X30" s="28" t="n">
        <x:v>228.36</x:v>
      </x:c>
      <x:c r="Y30" s="28" t="n">
        <x:f t="shared" si="16"/>
        <x:v>68.51</x:v>
      </x:c>
      <x:c r="Z30" s="28" t="n">
        <x:f t="shared" si="17">(Y30+H30)*A30</x:f>
        <x:v>0</x:v>
      </x:c>
      <x:c r="AA30" s="28" t="n">
        <x:v>220.89</x:v>
      </x:c>
      <x:c r="AB30" s="28" t="n">
        <x:f t="shared" si="18"/>
        <x:v>66.27</x:v>
      </x:c>
      <x:c r="AC30" s="28" t="n">
        <x:f t="shared" si="19">(AB30+H30)*A30</x:f>
        <x:v>0</x:v>
      </x:c>
      <x:c r="AD30" s="28" t="n">
        <x:v>251.68</x:v>
      </x:c>
      <x:c r="AE30" s="28" t="n">
        <x:f t="shared" si="20"/>
        <x:v>75.5</x:v>
      </x:c>
      <x:c r="AF30" s="29" t="n">
        <x:f t="shared" si="21">(AE30+H30)*A30</x:f>
        <x:v>0</x:v>
      </x:c>
    </x:row>
    <x:row r="31" ht="15.75" customHeight="1">
      <x:c r="A31" s="26"/>
      <x:c r="B31" s="27" t="s">
        <x:v>68</x:v>
      </x:c>
      <x:c r="C31" s="27" t="s">
        <x:v>69</x:v>
      </x:c>
      <x:c r="D31" s="28" t="n">
        <x:v>587.19</x:v>
      </x:c>
      <x:c r="E31" s="28" t="n">
        <x:f t="shared" si="1"/>
        <x:v>176.16</x:v>
      </x:c>
      <x:c r="F31" s="28" t="n">
        <x:f t="shared" si="2">E31*A31</x:f>
        <x:v>0</x:v>
      </x:c>
      <x:c r="G31" s="28" t="n">
        <x:v>391.15</x:v>
      </x:c>
      <x:c r="H31" s="28" t="n">
        <x:f t="shared" si="3"/>
        <x:v>117.34</x:v>
      </x:c>
      <x:c r="I31" s="28" t="n">
        <x:v>237.51</x:v>
      </x:c>
      <x:c r="J31" s="28" t="n">
        <x:f t="shared" si="4"/>
        <x:v>71.25</x:v>
      </x:c>
      <x:c r="K31" s="28" t="n">
        <x:f t="shared" si="5">(J31+H31)*A31</x:f>
        <x:v>0</x:v>
      </x:c>
      <x:c r="L31" s="28" t="n">
        <x:v>202.96</x:v>
      </x:c>
      <x:c r="M31" s="28" t="n">
        <x:f t="shared" si="6"/>
        <x:v>52.77</x:v>
      </x:c>
      <x:c r="N31" s="28" t="n">
        <x:f t="shared" si="7">(M31+H31)*A31</x:f>
        <x:v>0</x:v>
      </x:c>
      <x:c r="O31" s="28" t="n">
        <x:v>200.39</x:v>
      </x:c>
      <x:c r="P31" s="28" t="n">
        <x:f t="shared" si="8"/>
        <x:v>60.12</x:v>
      </x:c>
      <x:c r="Q31" s="28" t="n">
        <x:f t="shared" si="9">(P31+H31)*A31</x:f>
        <x:v>0</x:v>
      </x:c>
      <x:c r="R31" s="28" t="n">
        <x:f t="shared" si="10"/>
        <x:v>202.96</x:v>
      </x:c>
      <x:c r="S31" s="28" t="n">
        <x:f t="shared" si="11"/>
        <x:v>60.89</x:v>
      </x:c>
      <x:c r="T31" s="28" t="n">
        <x:f t="shared" si="12">(S31+H31)*A31</x:f>
        <x:v>0</x:v>
      </x:c>
      <x:c r="U31" s="28" t="n">
        <x:f t="shared" si="13"/>
        <x:v>202.96</x:v>
      </x:c>
      <x:c r="V31" s="28" t="n">
        <x:f t="shared" si="14"/>
        <x:v>60.89</x:v>
      </x:c>
      <x:c r="W31" s="28" t="n">
        <x:f t="shared" si="15">(V31+H31)*A31</x:f>
        <x:v>0</x:v>
      </x:c>
      <x:c r="X31" s="28" t="n">
        <x:v>270.75</x:v>
      </x:c>
      <x:c r="Y31" s="28" t="n">
        <x:f t="shared" si="16"/>
        <x:v>81.23</x:v>
      </x:c>
      <x:c r="Z31" s="28" t="n">
        <x:f t="shared" si="17">(Y31+H31)*A31</x:f>
        <x:v>0</x:v>
      </x:c>
      <x:c r="AA31" s="28" t="n">
        <x:v>223.65</x:v>
      </x:c>
      <x:c r="AB31" s="28" t="n">
        <x:f t="shared" si="18"/>
        <x:v>67.1</x:v>
      </x:c>
      <x:c r="AC31" s="28" t="n">
        <x:f t="shared" si="19">(AB31+H31)*A31</x:f>
        <x:v>0</x:v>
      </x:c>
      <x:c r="AD31" s="28" t="n">
        <x:v>255.29</x:v>
      </x:c>
      <x:c r="AE31" s="28" t="n">
        <x:f t="shared" si="20"/>
        <x:v>76.59</x:v>
      </x:c>
      <x:c r="AF31" s="29" t="n">
        <x:f t="shared" si="21">(AE31+H31)*A31</x:f>
        <x:v>0</x:v>
      </x:c>
    </x:row>
    <x:row r="32" ht="15.75" customHeight="1">
      <x:c r="A32" s="26"/>
      <x:c r="B32" s="27" t="s">
        <x:v>70</x:v>
      </x:c>
      <x:c r="C32" s="27" t="s">
        <x:v>71</x:v>
      </x:c>
      <x:c r="D32" s="28" t="n">
        <x:v>620.33</x:v>
      </x:c>
      <x:c r="E32" s="28" t="n">
        <x:f t="shared" si="1"/>
        <x:v>186.1</x:v>
      </x:c>
      <x:c r="F32" s="28" t="n">
        <x:f t="shared" si="2">E32*A32</x:f>
        <x:v>0</x:v>
      </x:c>
      <x:c r="G32" s="28" t="n">
        <x:v>418.19</x:v>
      </x:c>
      <x:c r="H32" s="28" t="n">
        <x:f t="shared" si="3"/>
        <x:v>125.46</x:v>
      </x:c>
      <x:c r="I32" s="28" t="n">
        <x:v>245.89</x:v>
      </x:c>
      <x:c r="J32" s="28" t="n">
        <x:f t="shared" si="4"/>
        <x:v>73.77</x:v>
      </x:c>
      <x:c r="K32" s="28" t="n">
        <x:f t="shared" si="5">(J32+H32)*A32</x:f>
        <x:v>0</x:v>
      </x:c>
      <x:c r="L32" s="28" t="n">
        <x:v>209</x:v>
      </x:c>
      <x:c r="M32" s="28" t="n">
        <x:f t="shared" si="6"/>
        <x:v>54.34</x:v>
      </x:c>
      <x:c r="N32" s="28" t="n">
        <x:f t="shared" si="7">(M32+H32)*A32</x:f>
        <x:v>0</x:v>
      </x:c>
      <x:c r="O32" s="28" t="n">
        <x:v>206.31</x:v>
      </x:c>
      <x:c r="P32" s="28" t="n">
        <x:f t="shared" si="8"/>
        <x:v>61.89</x:v>
      </x:c>
      <x:c r="Q32" s="28" t="n">
        <x:f t="shared" si="9">(P32+H32)*A32</x:f>
        <x:v>0</x:v>
      </x:c>
      <x:c r="R32" s="28" t="n">
        <x:f t="shared" si="10"/>
        <x:v>209</x:v>
      </x:c>
      <x:c r="S32" s="28" t="n">
        <x:f t="shared" si="11"/>
        <x:v>62.7</x:v>
      </x:c>
      <x:c r="T32" s="28" t="n">
        <x:f t="shared" si="12">(S32+H32)*A32</x:f>
        <x:v>0</x:v>
      </x:c>
      <x:c r="U32" s="28" t="n">
        <x:f t="shared" si="13"/>
        <x:v>209</x:v>
      </x:c>
      <x:c r="V32" s="28" t="n">
        <x:f t="shared" si="14"/>
        <x:v>62.7</x:v>
      </x:c>
      <x:c r="W32" s="28" t="n">
        <x:f t="shared" si="15">(V32+H32)*A32</x:f>
        <x:v>0</x:v>
      </x:c>
      <x:c r="X32" s="28" t="n">
        <x:v>313.16</x:v>
      </x:c>
      <x:c r="Y32" s="28" t="n">
        <x:f t="shared" si="16"/>
        <x:v>93.95</x:v>
      </x:c>
      <x:c r="Z32" s="28" t="n">
        <x:f t="shared" si="17">(Y32+H32)*A32</x:f>
        <x:v>0</x:v>
      </x:c>
      <x:c r="AA32" s="28" t="n">
        <x:v>226.9</x:v>
      </x:c>
      <x:c r="AB32" s="28" t="n">
        <x:f t="shared" si="18"/>
        <x:v>68.07</x:v>
      </x:c>
      <x:c r="AC32" s="28" t="n">
        <x:f t="shared" si="19">(AB32+H32)*A32</x:f>
        <x:v>0</x:v>
      </x:c>
      <x:c r="AD32" s="28" t="n">
        <x:v>264.54</x:v>
      </x:c>
      <x:c r="AE32" s="28" t="n">
        <x:f t="shared" si="20"/>
        <x:v>79.36</x:v>
      </x:c>
      <x:c r="AF32" s="29" t="n">
        <x:f t="shared" si="21">(AE32+H32)*A32</x:f>
        <x:v>0</x:v>
      </x:c>
    </x:row>
    <x:row r="33" ht="15.75" customHeight="1">
      <x:c r="A33" s="26"/>
      <x:c r="B33" s="27" t="s">
        <x:v>72</x:v>
      </x:c>
      <x:c r="C33" s="27" t="s">
        <x:v>73</x:v>
      </x:c>
      <x:c r="D33" s="28" t="n">
        <x:v>653.54</x:v>
      </x:c>
      <x:c r="E33" s="28" t="n">
        <x:f t="shared" si="1"/>
        <x:v>196.06</x:v>
      </x:c>
      <x:c r="F33" s="28" t="n">
        <x:f t="shared" si="2">E33*A33</x:f>
        <x:v>0</x:v>
      </x:c>
      <x:c r="G33" s="28" t="n">
        <x:v>444.82</x:v>
      </x:c>
      <x:c r="H33" s="28" t="n">
        <x:f t="shared" si="3"/>
        <x:v>133.45</x:v>
      </x:c>
      <x:c r="I33" s="28" t="n">
        <x:v>254.61</x:v>
      </x:c>
      <x:c r="J33" s="28" t="n">
        <x:f t="shared" si="4"/>
        <x:v>76.38</x:v>
      </x:c>
      <x:c r="K33" s="28" t="n">
        <x:f t="shared" si="5">(J33+H33)*A33</x:f>
        <x:v>0</x:v>
      </x:c>
      <x:c r="L33" s="28" t="n">
        <x:v>216.1</x:v>
      </x:c>
      <x:c r="M33" s="28" t="n">
        <x:f t="shared" si="6"/>
        <x:v>56.19</x:v>
      </x:c>
      <x:c r="N33" s="28" t="n">
        <x:f t="shared" si="7">(M33+H33)*A33</x:f>
        <x:v>0</x:v>
      </x:c>
      <x:c r="O33" s="28" t="n">
        <x:v>213.3</x:v>
      </x:c>
      <x:c r="P33" s="28" t="n">
        <x:f t="shared" si="8"/>
        <x:v>63.99</x:v>
      </x:c>
      <x:c r="Q33" s="28" t="n">
        <x:f t="shared" si="9">(P33+H33)*A33</x:f>
        <x:v>0</x:v>
      </x:c>
      <x:c r="R33" s="28" t="n">
        <x:f t="shared" si="10"/>
        <x:v>216.1</x:v>
      </x:c>
      <x:c r="S33" s="28" t="n">
        <x:f t="shared" si="11"/>
        <x:v>64.83</x:v>
      </x:c>
      <x:c r="T33" s="28" t="n">
        <x:f t="shared" si="12">(S33+H33)*A33</x:f>
        <x:v>0</x:v>
      </x:c>
      <x:c r="U33" s="28" t="n">
        <x:f t="shared" si="13"/>
        <x:v>216.1</x:v>
      </x:c>
      <x:c r="V33" s="28" t="n">
        <x:f t="shared" si="14"/>
        <x:v>64.83</x:v>
      </x:c>
      <x:c r="W33" s="28" t="n">
        <x:f t="shared" si="15">(V33+H33)*A33</x:f>
        <x:v>0</x:v>
      </x:c>
      <x:c r="X33" s="28" t="n">
        <x:v>355.55</x:v>
      </x:c>
      <x:c r="Y33" s="28" t="n">
        <x:f t="shared" si="16"/>
        <x:v>106.67</x:v>
      </x:c>
      <x:c r="Z33" s="28" t="n">
        <x:f t="shared" si="17">(Y33+H33)*A33</x:f>
        <x:v>0</x:v>
      </x:c>
      <x:c r="AA33" s="28" t="n">
        <x:v>230.44</x:v>
      </x:c>
      <x:c r="AB33" s="28" t="n">
        <x:f t="shared" si="18"/>
        <x:v>69.13</x:v>
      </x:c>
      <x:c r="AC33" s="28" t="n">
        <x:f t="shared" si="19">(AB33+H33)*A33</x:f>
        <x:v>0</x:v>
      </x:c>
      <x:c r="AD33" s="28" t="n">
        <x:v>274.07</x:v>
      </x:c>
      <x:c r="AE33" s="28" t="n">
        <x:f t="shared" si="20"/>
        <x:v>82.22</x:v>
      </x:c>
      <x:c r="AF33" s="29" t="n">
        <x:f t="shared" si="21">(AE33+H33)*A33</x:f>
        <x:v>0</x:v>
      </x:c>
    </x:row>
    <x:row r="34" ht="15.75" customHeight="1">
      <x:c r="A34" s="26"/>
      <x:c r="B34" s="27" t="s">
        <x:v>74</x:v>
      </x:c>
      <x:c r="C34" s="27" t="s">
        <x:v>75</x:v>
      </x:c>
      <x:c r="D34" s="28" t="n">
        <x:v>686.69</x:v>
      </x:c>
      <x:c r="E34" s="28" t="n">
        <x:f t="shared" si="1"/>
        <x:v>206.01</x:v>
      </x:c>
      <x:c r="F34" s="28" t="n">
        <x:f t="shared" si="2">E34*A34</x:f>
        <x:v>0</x:v>
      </x:c>
      <x:c r="G34" s="28" t="n">
        <x:v>474</x:v>
      </x:c>
      <x:c r="H34" s="28" t="n">
        <x:f t="shared" si="3"/>
        <x:v>142.2</x:v>
      </x:c>
      <x:c r="I34" s="28" t="n">
        <x:v>261.33</x:v>
      </x:c>
      <x:c r="J34" s="28" t="n">
        <x:f t="shared" si="4"/>
        <x:v>78.4</x:v>
      </x:c>
      <x:c r="K34" s="28" t="n">
        <x:f t="shared" si="5">(J34+H34)*A34</x:f>
        <x:v>0</x:v>
      </x:c>
      <x:c r="L34" s="28" t="n">
        <x:v>220.4</x:v>
      </x:c>
      <x:c r="M34" s="28" t="n">
        <x:f t="shared" si="6"/>
        <x:v>57.3</x:v>
      </x:c>
      <x:c r="N34" s="28" t="n">
        <x:f t="shared" si="7">(M34+H34)*A34</x:f>
        <x:v>0</x:v>
      </x:c>
      <x:c r="O34" s="28" t="n">
        <x:v>217.58</x:v>
      </x:c>
      <x:c r="P34" s="28" t="n">
        <x:f t="shared" si="8"/>
        <x:v>65.27</x:v>
      </x:c>
      <x:c r="Q34" s="28" t="n">
        <x:f t="shared" si="9">(P34+H34)*A34</x:f>
        <x:v>0</x:v>
      </x:c>
      <x:c r="R34" s="28" t="n">
        <x:f t="shared" si="10"/>
        <x:v>220.4</x:v>
      </x:c>
      <x:c r="S34" s="28" t="n">
        <x:f t="shared" si="11"/>
        <x:v>66.12</x:v>
      </x:c>
      <x:c r="T34" s="28" t="n">
        <x:f t="shared" si="12">(S34+H34)*A34</x:f>
        <x:v>0</x:v>
      </x:c>
      <x:c r="U34" s="28" t="n">
        <x:f t="shared" si="13"/>
        <x:v>220.4</x:v>
      </x:c>
      <x:c r="V34" s="28" t="n">
        <x:f t="shared" si="14"/>
        <x:v>66.12</x:v>
      </x:c>
      <x:c r="W34" s="28" t="n">
        <x:f t="shared" si="15">(V34+H34)*A34</x:f>
        <x:v>0</x:v>
      </x:c>
      <x:c r="X34" s="28" t="n">
        <x:v>398.51</x:v>
      </x:c>
      <x:c r="Y34" s="28" t="n">
        <x:f t="shared" si="16"/>
        <x:v>119.55</x:v>
      </x:c>
      <x:c r="Z34" s="28" t="n">
        <x:f t="shared" si="17">(Y34+H34)*A34</x:f>
        <x:v>0</x:v>
      </x:c>
      <x:c r="AA34" s="28" t="n">
        <x:v>235.83</x:v>
      </x:c>
      <x:c r="AB34" s="28" t="n">
        <x:f t="shared" si="18"/>
        <x:v>70.75</x:v>
      </x:c>
      <x:c r="AC34" s="28" t="n">
        <x:f t="shared" si="19">(AB34+H34)*A34</x:f>
        <x:v>0</x:v>
      </x:c>
      <x:c r="AD34" s="28" t="n">
        <x:v>281.45</x:v>
      </x:c>
      <x:c r="AE34" s="28" t="n">
        <x:f t="shared" si="20"/>
        <x:v>84.43</x:v>
      </x:c>
      <x:c r="AF34" s="29" t="n">
        <x:f t="shared" si="21">(AE34+H34)*A34</x:f>
        <x:v>0</x:v>
      </x:c>
    </x:row>
    <x:row r="35" ht="15.75" customHeight="1">
      <x:c r="A35" s="26"/>
      <x:c r="B35" s="27" t="s">
        <x:v>76</x:v>
      </x:c>
      <x:c r="C35" s="27" t="s">
        <x:v>77</x:v>
      </x:c>
      <x:c r="D35" s="28"/>
      <x:c r="E35" s="28" t="n">
        <x:f t="shared" si="1"/>
        <x:v>0</x:v>
      </x:c>
      <x:c r="F35" s="28" t="n">
        <x:f t="shared" si="2">E35*A35</x:f>
        <x:v>0</x:v>
      </x:c>
      <x:c r="G35" s="28"/>
      <x:c r="H35" s="28" t="n">
        <x:f t="shared" si="3"/>
        <x:v>0</x:v>
      </x:c>
      <x:c r="I35" s="28"/>
      <x:c r="J35" s="28" t="n">
        <x:f t="shared" si="4"/>
        <x:v>0</x:v>
      </x:c>
      <x:c r="K35" s="28" t="n">
        <x:f t="shared" si="5">(J35+H35)*A35</x:f>
        <x:v>0</x:v>
      </x:c>
      <x:c r="L35" s="28"/>
      <x:c r="M35" s="28" t="n">
        <x:f t="shared" si="6"/>
        <x:v>0</x:v>
      </x:c>
      <x:c r="N35" s="28" t="n">
        <x:f t="shared" si="7">(M35+H35)*A35</x:f>
        <x:v>0</x:v>
      </x:c>
      <x:c r="O35" s="28"/>
      <x:c r="P35" s="28" t="n">
        <x:f t="shared" si="8"/>
        <x:v>0</x:v>
      </x:c>
      <x:c r="Q35" s="28" t="n">
        <x:f t="shared" si="9">(P35+H35)*A35</x:f>
        <x:v>0</x:v>
      </x:c>
      <x:c r="R35" s="28"/>
      <x:c r="S35" s="28" t="n">
        <x:f t="shared" si="11"/>
        <x:v>0</x:v>
      </x:c>
      <x:c r="T35" s="28" t="n">
        <x:f t="shared" si="12">(S35+H35)*A35</x:f>
        <x:v>0</x:v>
      </x:c>
      <x:c r="U35" s="28" t="str">
        <x:f t="shared" si="13"/>
      </x:c>
      <x:c r="V35" s="28" t="n">
        <x:f t="shared" si="14"/>
        <x:v>0</x:v>
      </x:c>
      <x:c r="W35" s="28" t="n">
        <x:f t="shared" si="15">(V35+H35)*A35</x:f>
        <x:v>0</x:v>
      </x:c>
      <x:c r="X35" s="28"/>
      <x:c r="Y35" s="28" t="n">
        <x:f t="shared" si="16"/>
        <x:v>0</x:v>
      </x:c>
      <x:c r="Z35" s="28" t="n">
        <x:f t="shared" si="17">(Y35+H35)*A35</x:f>
        <x:v>0</x:v>
      </x:c>
      <x:c r="AA35" s="28"/>
      <x:c r="AB35" s="28" t="n">
        <x:f t="shared" si="18"/>
        <x:v>0</x:v>
      </x:c>
      <x:c r="AC35" s="28" t="n">
        <x:f t="shared" si="19">(AB35+H35)*A35</x:f>
        <x:v>0</x:v>
      </x:c>
      <x:c r="AD35" s="28"/>
      <x:c r="AE35" s="28" t="n">
        <x:f t="shared" si="20"/>
        <x:v>0</x:v>
      </x:c>
      <x:c r="AF35" s="29" t="n">
        <x:f t="shared" si="21">(AE35+H35)*A35</x:f>
        <x:v>0</x:v>
      </x:c>
    </x:row>
    <x:row r="36" ht="15.75" customHeight="1">
      <x:c r="A36" s="26"/>
      <x:c r="B36" s="27" t="s">
        <x:v>78</x:v>
      </x:c>
      <x:c r="C36" s="27" t="s">
        <x:v>79</x:v>
      </x:c>
      <x:c r="D36" s="28" t="n">
        <x:v>734.12</x:v>
      </x:c>
      <x:c r="E36" s="28" t="n">
        <x:f t="shared" si="1"/>
        <x:v>220.24</x:v>
      </x:c>
      <x:c r="F36" s="28" t="n">
        <x:f t="shared" si="2">E36*A36</x:f>
        <x:v>0</x:v>
      </x:c>
      <x:c r="G36" s="28" t="n">
        <x:v>513.26</x:v>
      </x:c>
      <x:c r="H36" s="28" t="n">
        <x:f t="shared" si="3"/>
        <x:v>153.98</x:v>
      </x:c>
      <x:c r="I36" s="28" t="n">
        <x:v>272.06</x:v>
      </x:c>
      <x:c r="J36" s="28" t="n">
        <x:f t="shared" si="4"/>
        <x:v>81.62</x:v>
      </x:c>
      <x:c r="K36" s="28" t="n">
        <x:f t="shared" si="5">(J36+H36)*A36</x:f>
        <x:v>0</x:v>
      </x:c>
      <x:c r="L36" s="28" t="n">
        <x:v>228.99</x:v>
      </x:c>
      <x:c r="M36" s="28" t="n">
        <x:f t="shared" si="6"/>
        <x:v>59.54</x:v>
      </x:c>
      <x:c r="N36" s="28" t="n">
        <x:f t="shared" si="7">(M36+H36)*A36</x:f>
        <x:v>0</x:v>
      </x:c>
      <x:c r="O36" s="28" t="n">
        <x:v>226.01</x:v>
      </x:c>
      <x:c r="P36" s="28" t="n">
        <x:f t="shared" si="8"/>
        <x:v>67.8</x:v>
      </x:c>
      <x:c r="Q36" s="28" t="n">
        <x:f t="shared" si="9">(P36+H36)*A36</x:f>
        <x:v>0</x:v>
      </x:c>
      <x:c r="R36" s="28" t="n">
        <x:f>L36</x:f>
        <x:v>228.99</x:v>
      </x:c>
      <x:c r="S36" s="28" t="n">
        <x:f t="shared" si="11"/>
        <x:v>68.7</x:v>
      </x:c>
      <x:c r="T36" s="28" t="n">
        <x:f t="shared" si="12">(S36+H36)*A36</x:f>
        <x:v>0</x:v>
      </x:c>
      <x:c r="U36" s="28" t="n">
        <x:f t="shared" si="13"/>
        <x:v>228.99</x:v>
      </x:c>
      <x:c r="V36" s="28" t="n">
        <x:f t="shared" si="14"/>
        <x:v>68.7</x:v>
      </x:c>
      <x:c r="W36" s="28" t="n">
        <x:f t="shared" si="15">(V36+H36)*A36</x:f>
        <x:v>0</x:v>
      </x:c>
      <x:c r="X36" s="28" t="n">
        <x:v>440.92</x:v>
      </x:c>
      <x:c r="Y36" s="28" t="n">
        <x:f t="shared" si="16"/>
        <x:v>132.28</x:v>
      </x:c>
      <x:c r="Z36" s="28" t="n">
        <x:f t="shared" si="17">(Y36+H36)*A36</x:f>
        <x:v>0</x:v>
      </x:c>
      <x:c r="AA36" s="28" t="n">
        <x:v>243.93</x:v>
      </x:c>
      <x:c r="AB36" s="28" t="n">
        <x:f t="shared" si="18"/>
        <x:v>73.18</x:v>
      </x:c>
      <x:c r="AC36" s="28" t="n">
        <x:f t="shared" si="19">(AB36+H36)*A36</x:f>
        <x:v>0</x:v>
      </x:c>
      <x:c r="AD36" s="28" t="n">
        <x:v>294.87</x:v>
      </x:c>
      <x:c r="AE36" s="28" t="n">
        <x:f t="shared" si="20"/>
        <x:v>88.46</x:v>
      </x:c>
      <x:c r="AF36" s="29" t="n">
        <x:f t="shared" si="21">(AE36+H36)*A36</x:f>
        <x:v>0</x:v>
      </x:c>
    </x:row>
    <x:row r="37" ht="15.75" customHeight="1">
      <x:c r="A37" s="26"/>
      <x:c r="B37" s="27" t="s">
        <x:v>80</x:v>
      </x:c>
      <x:c r="C37" s="27" t="s">
        <x:v>81</x:v>
      </x:c>
      <x:c r="D37" s="28"/>
      <x:c r="E37" s="28" t="n">
        <x:f t="shared" si="1"/>
        <x:v>0</x:v>
      </x:c>
      <x:c r="F37" s="28" t="n">
        <x:f t="shared" si="2">E37*A37</x:f>
        <x:v>0</x:v>
      </x:c>
      <x:c r="G37" s="28"/>
      <x:c r="H37" s="28" t="n">
        <x:f t="shared" si="3"/>
        <x:v>0</x:v>
      </x:c>
      <x:c r="I37" s="28"/>
      <x:c r="J37" s="28" t="n">
        <x:f t="shared" si="4"/>
        <x:v>0</x:v>
      </x:c>
      <x:c r="K37" s="28" t="n">
        <x:f t="shared" si="5">(J37+H37)*A37</x:f>
        <x:v>0</x:v>
      </x:c>
      <x:c r="L37" s="28"/>
      <x:c r="M37" s="28" t="n">
        <x:f t="shared" si="6"/>
        <x:v>0</x:v>
      </x:c>
      <x:c r="N37" s="28" t="n">
        <x:f t="shared" si="7">(M37+H37)*A37</x:f>
        <x:v>0</x:v>
      </x:c>
      <x:c r="O37" s="28"/>
      <x:c r="P37" s="28" t="n">
        <x:f t="shared" si="8"/>
        <x:v>0</x:v>
      </x:c>
      <x:c r="Q37" s="28" t="n">
        <x:f t="shared" si="9">(P37+H37)*A37</x:f>
        <x:v>0</x:v>
      </x:c>
      <x:c r="R37" s="28"/>
      <x:c r="S37" s="28" t="n">
        <x:f t="shared" si="11"/>
        <x:v>0</x:v>
      </x:c>
      <x:c r="T37" s="28" t="n">
        <x:f t="shared" si="12">(S37+H37)*A37</x:f>
        <x:v>0</x:v>
      </x:c>
      <x:c r="U37" s="28" t="str">
        <x:f t="shared" si="13"/>
      </x:c>
      <x:c r="V37" s="28" t="n">
        <x:f t="shared" si="14"/>
        <x:v>0</x:v>
      </x:c>
      <x:c r="W37" s="28" t="n">
        <x:f t="shared" si="15">(V37+H37)*A37</x:f>
        <x:v>0</x:v>
      </x:c>
      <x:c r="X37" s="28"/>
      <x:c r="Y37" s="28" t="n">
        <x:f t="shared" si="16"/>
        <x:v>0</x:v>
      </x:c>
      <x:c r="Z37" s="28" t="n">
        <x:f t="shared" si="17">(Y37+H37)*A37</x:f>
        <x:v>0</x:v>
      </x:c>
      <x:c r="AA37" s="28"/>
      <x:c r="AB37" s="28" t="n">
        <x:f t="shared" si="18"/>
        <x:v>0</x:v>
      </x:c>
      <x:c r="AC37" s="28" t="n">
        <x:f t="shared" si="19">(AB37+H37)*A37</x:f>
        <x:v>0</x:v>
      </x:c>
      <x:c r="AD37" s="28"/>
      <x:c r="AE37" s="28" t="n">
        <x:f t="shared" si="20"/>
        <x:v>0</x:v>
      </x:c>
      <x:c r="AF37" s="29" t="n">
        <x:f t="shared" si="21">(AE37+H37)*A37</x:f>
        <x:v>0</x:v>
      </x:c>
    </x:row>
    <x:row r="38" ht="15.75" customHeight="1">
      <x:c r="A38" s="26"/>
      <x:c r="B38" s="27" t="s">
        <x:v>82</x:v>
      </x:c>
      <x:c r="C38" s="27" t="s">
        <x:v>83</x:v>
      </x:c>
      <x:c r="D38" s="28" t="n">
        <x:v>844.56</x:v>
      </x:c>
      <x:c r="E38" s="28" t="n">
        <x:f t="shared" si="1"/>
        <x:v>253.37</x:v>
      </x:c>
      <x:c r="F38" s="28" t="n">
        <x:f t="shared" si="2">E38*A38</x:f>
        <x:v>0</x:v>
      </x:c>
      <x:c r="G38" s="28"/>
      <x:c r="H38" s="28" t="n">
        <x:f t="shared" si="3"/>
        <x:v>0</x:v>
      </x:c>
      <x:c r="I38" s="28" t="n">
        <x:v>893.87</x:v>
      </x:c>
      <x:c r="J38" s="28" t="n">
        <x:f t="shared" si="4"/>
        <x:v>268.16</x:v>
      </x:c>
      <x:c r="K38" s="28" t="n">
        <x:f t="shared" si="5">(J38+H38)*A38</x:f>
        <x:v>0</x:v>
      </x:c>
      <x:c r="L38" s="28"/>
      <x:c r="M38" s="28" t="n">
        <x:f t="shared" si="6"/>
        <x:v>0</x:v>
      </x:c>
      <x:c r="N38" s="28" t="n">
        <x:f t="shared" si="7">(M38+H38)*A38</x:f>
        <x:v>0</x:v>
      </x:c>
      <x:c r="O38" s="28"/>
      <x:c r="P38" s="28" t="n">
        <x:f t="shared" si="8"/>
        <x:v>0</x:v>
      </x:c>
      <x:c r="Q38" s="28" t="n">
        <x:f t="shared" si="9">(P38+H38)*A38</x:f>
        <x:v>0</x:v>
      </x:c>
      <x:c r="R38" s="28" t="n">
        <x:f t="shared" ref="R38:R48" si="22">L38</x:f>
        <x:v>0</x:v>
      </x:c>
      <x:c r="S38" s="28" t="n">
        <x:f t="shared" si="11"/>
        <x:v>0</x:v>
      </x:c>
      <x:c r="T38" s="28" t="n">
        <x:f t="shared" si="12">(S38+H38)*A38</x:f>
        <x:v>0</x:v>
      </x:c>
      <x:c r="U38" s="28" t="str">
        <x:f t="shared" si="13"/>
      </x:c>
      <x:c r="V38" s="28" t="n">
        <x:f t="shared" si="14"/>
        <x:v>0</x:v>
      </x:c>
      <x:c r="W38" s="28" t="n">
        <x:f t="shared" si="15">(V38+H38)*A38</x:f>
        <x:v>0</x:v>
      </x:c>
      <x:c r="X38" s="28" t="n">
        <x:v>1017.18</x:v>
      </x:c>
      <x:c r="Y38" s="28" t="n">
        <x:f t="shared" si="16"/>
        <x:v>305.15</x:v>
      </x:c>
      <x:c r="Z38" s="28" t="n">
        <x:f t="shared" si="17">(Y38+H38)*A38</x:f>
        <x:v>0</x:v>
      </x:c>
      <x:c r="AA38" s="28"/>
      <x:c r="AB38" s="28" t="n">
        <x:f t="shared" si="18"/>
        <x:v>0</x:v>
      </x:c>
      <x:c r="AC38" s="28" t="n">
        <x:f t="shared" si="19">(AB38+H38)*A38</x:f>
        <x:v>0</x:v>
      </x:c>
      <x:c r="AD38" s="28"/>
      <x:c r="AE38" s="28" t="n">
        <x:f t="shared" si="20"/>
        <x:v>0</x:v>
      </x:c>
      <x:c r="AF38" s="29" t="n">
        <x:f t="shared" si="21">(AE38+H38)*A38</x:f>
        <x:v>0</x:v>
      </x:c>
    </x:row>
    <x:row r="39" ht="15.75" customHeight="1">
      <x:c r="A39" s="26"/>
      <x:c r="B39" s="27" t="s">
        <x:v>84</x:v>
      </x:c>
      <x:c r="C39" s="27" t="s">
        <x:v>85</x:v>
      </x:c>
      <x:c r="D39" s="28" t="n">
        <x:v>784.04</x:v>
      </x:c>
      <x:c r="E39" s="28" t="n">
        <x:f t="shared" si="1"/>
        <x:v>235.21</x:v>
      </x:c>
      <x:c r="F39" s="28" t="n">
        <x:f t="shared" si="2">E39*A39</x:f>
        <x:v>0</x:v>
      </x:c>
      <x:c r="G39" s="28" t="n">
        <x:v>543.92</x:v>
      </x:c>
      <x:c r="H39" s="28" t="n">
        <x:f t="shared" si="3"/>
        <x:v>163.18</x:v>
      </x:c>
      <x:c r="I39" s="28" t="n">
        <x:v>294.87</x:v>
      </x:c>
      <x:c r="J39" s="28" t="n">
        <x:f t="shared" si="4"/>
        <x:v>88.46</x:v>
      </x:c>
      <x:c r="K39" s="28" t="n">
        <x:f t="shared" si="5">(J39+H39)*A39</x:f>
        <x:v>0</x:v>
      </x:c>
      <x:c r="L39" s="28" t="n">
        <x:v>247.57</x:v>
      </x:c>
      <x:c r="M39" s="28" t="n">
        <x:f t="shared" si="6"/>
        <x:v>64.37</x:v>
      </x:c>
      <x:c r="N39" s="28" t="n">
        <x:f t="shared" si="7">(M39+H39)*A39</x:f>
        <x:v>0</x:v>
      </x:c>
      <x:c r="O39" s="28" t="n">
        <x:v>244.41</x:v>
      </x:c>
      <x:c r="P39" s="28" t="n">
        <x:f t="shared" si="8"/>
        <x:v>73.32</x:v>
      </x:c>
      <x:c r="Q39" s="28" t="n">
        <x:f t="shared" si="9">(P39+H39)*A39</x:f>
        <x:v>0</x:v>
      </x:c>
      <x:c r="R39" s="28" t="n">
        <x:f t="shared" si="22"/>
        <x:v>247.57</x:v>
      </x:c>
      <x:c r="S39" s="28" t="n">
        <x:f t="shared" si="11"/>
        <x:v>74.27</x:v>
      </x:c>
      <x:c r="T39" s="28" t="n">
        <x:f t="shared" si="12">(S39+H39)*A39</x:f>
        <x:v>0</x:v>
      </x:c>
      <x:c r="U39" s="28" t="n">
        <x:f t="shared" si="13"/>
        <x:v>247.57</x:v>
      </x:c>
      <x:c r="V39" s="28" t="n">
        <x:f t="shared" si="14"/>
        <x:v>74.27</x:v>
      </x:c>
      <x:c r="W39" s="28" t="n">
        <x:f t="shared" si="15">(V39+H39)*A39</x:f>
        <x:v>0</x:v>
      </x:c>
      <x:c r="X39" s="28" t="n">
        <x:v>483.33</x:v>
      </x:c>
      <x:c r="Y39" s="28" t="n">
        <x:f t="shared" si="16"/>
        <x:v>145</x:v>
      </x:c>
      <x:c r="Z39" s="28" t="n">
        <x:f t="shared" si="17">(Y39+H39)*A39</x:f>
        <x:v>0</x:v>
      </x:c>
      <x:c r="AA39" s="28" t="n">
        <x:v>258.58</x:v>
      </x:c>
      <x:c r="AB39" s="28" t="n">
        <x:f t="shared" si="18"/>
        <x:v>77.57</x:v>
      </x:c>
      <x:c r="AC39" s="28" t="n">
        <x:f t="shared" si="19">(AB39+H39)*A39</x:f>
        <x:v>0</x:v>
      </x:c>
      <x:c r="AD39" s="28" t="n">
        <x:v>319.02</x:v>
      </x:c>
      <x:c r="AE39" s="28" t="n">
        <x:f t="shared" si="20"/>
        <x:v>95.71</x:v>
      </x:c>
      <x:c r="AF39" s="29" t="n">
        <x:f t="shared" si="21">(AE39+H39)*A39</x:f>
        <x:v>0</x:v>
      </x:c>
    </x:row>
    <x:row r="40" ht="15.75" customHeight="1">
      <x:c r="A40" s="26"/>
      <x:c r="B40" s="27" t="s">
        <x:v>86</x:v>
      </x:c>
      <x:c r="C40" s="27" t="s">
        <x:v>87</x:v>
      </x:c>
      <x:c r="D40" s="28" t="n">
        <x:v>822.89</x:v>
      </x:c>
      <x:c r="E40" s="28" t="n">
        <x:f t="shared" si="1"/>
        <x:v>246.87</x:v>
      </x:c>
      <x:c r="F40" s="28" t="n">
        <x:f t="shared" si="2">E40*A40</x:f>
        <x:v>0</x:v>
      </x:c>
      <x:c r="G40" s="28" t="n">
        <x:v>566.93</x:v>
      </x:c>
      <x:c r="H40" s="28" t="n">
        <x:f t="shared" si="3"/>
        <x:v>170.08</x:v>
      </x:c>
      <x:c r="I40" s="28" t="n">
        <x:v>313.66</x:v>
      </x:c>
      <x:c r="J40" s="28" t="n">
        <x:f t="shared" si="4"/>
        <x:v>94.1</x:v>
      </x:c>
      <x:c r="K40" s="28" t="n">
        <x:f t="shared" si="5">(J40+H40)*A40</x:f>
        <x:v>0</x:v>
      </x:c>
      <x:c r="L40" s="28" t="n">
        <x:v>265.08</x:v>
      </x:c>
      <x:c r="M40" s="28" t="n">
        <x:f t="shared" si="6"/>
        <x:v>68.92</x:v>
      </x:c>
      <x:c r="N40" s="28" t="n">
        <x:f t="shared" si="7">(M40+H40)*A40</x:f>
        <x:v>0</x:v>
      </x:c>
      <x:c r="O40" s="28" t="n">
        <x:v>261.65</x:v>
      </x:c>
      <x:c r="P40" s="28" t="n">
        <x:f t="shared" si="8"/>
        <x:v>78.5</x:v>
      </x:c>
      <x:c r="Q40" s="28" t="n">
        <x:f t="shared" si="9">(P40+H40)*A40</x:f>
        <x:v>0</x:v>
      </x:c>
      <x:c r="R40" s="28" t="n">
        <x:f t="shared" si="22"/>
        <x:v>265.08</x:v>
      </x:c>
      <x:c r="S40" s="28" t="n">
        <x:f t="shared" si="11"/>
        <x:v>79.52</x:v>
      </x:c>
      <x:c r="T40" s="28" t="n">
        <x:f t="shared" si="12">(S40+H40)*A40</x:f>
        <x:v>0</x:v>
      </x:c>
      <x:c r="U40" s="28" t="n">
        <x:f t="shared" si="13"/>
        <x:v>265.08</x:v>
      </x:c>
      <x:c r="V40" s="28" t="n">
        <x:f t="shared" si="14"/>
        <x:v>79.52</x:v>
      </x:c>
      <x:c r="W40" s="28" t="n">
        <x:f t="shared" si="15">(V40+H40)*A40</x:f>
        <x:v>0</x:v>
      </x:c>
      <x:c r="X40" s="28" t="n">
        <x:v>525.72</x:v>
      </x:c>
      <x:c r="Y40" s="28" t="n">
        <x:f t="shared" si="16"/>
        <x:v>157.72</x:v>
      </x:c>
      <x:c r="Z40" s="28" t="n">
        <x:f t="shared" si="17">(Y40+H40)*A40</x:f>
        <x:v>0</x:v>
      </x:c>
      <x:c r="AA40" s="28" t="n">
        <x:v>281.85</x:v>
      </x:c>
      <x:c r="AB40" s="28" t="n">
        <x:f t="shared" si="18"/>
        <x:v>84.55</x:v>
      </x:c>
      <x:c r="AC40" s="28" t="n">
        <x:f t="shared" si="19">(AB40+H40)*A40</x:f>
        <x:v>0</x:v>
      </x:c>
      <x:c r="AD40" s="28" t="n">
        <x:v>338.49</x:v>
      </x:c>
      <x:c r="AE40" s="28" t="n">
        <x:f t="shared" si="20"/>
        <x:v>101.55</x:v>
      </x:c>
      <x:c r="AF40" s="29" t="n">
        <x:f t="shared" si="21">(AE40+H40)*A40</x:f>
        <x:v>0</x:v>
      </x:c>
    </x:row>
    <x:row r="41" ht="15.75" customHeight="1">
      <x:c r="A41" s="26"/>
      <x:c r="B41" s="27" t="s">
        <x:v>88</x:v>
      </x:c>
      <x:c r="C41" s="27" t="s">
        <x:v>89</x:v>
      </x:c>
      <x:c r="D41" s="28" t="n">
        <x:v>959.49</x:v>
      </x:c>
      <x:c r="E41" s="28" t="n">
        <x:f t="shared" si="1"/>
        <x:v>287.85</x:v>
      </x:c>
      <x:c r="F41" s="28" t="n">
        <x:f t="shared" si="2">E41*A41</x:f>
        <x:v>0</x:v>
      </x:c>
      <x:c r="G41" s="28"/>
      <x:c r="H41" s="28" t="n">
        <x:f t="shared" si="3"/>
        <x:v>0</x:v>
      </x:c>
      <x:c r="I41" s="28" t="n">
        <x:v>1015.51</x:v>
      </x:c>
      <x:c r="J41" s="28" t="n">
        <x:f t="shared" si="4"/>
        <x:v>304.65</x:v>
      </x:c>
      <x:c r="K41" s="28" t="n">
        <x:f t="shared" si="5">(J41+H41)*A41</x:f>
        <x:v>0</x:v>
      </x:c>
      <x:c r="L41" s="28"/>
      <x:c r="M41" s="28" t="n">
        <x:f t="shared" si="6"/>
        <x:v>0</x:v>
      </x:c>
      <x:c r="N41" s="28" t="n">
        <x:f t="shared" si="7">(M41+H41)*A41</x:f>
        <x:v>0</x:v>
      </x:c>
      <x:c r="O41" s="28"/>
      <x:c r="P41" s="28" t="n">
        <x:f t="shared" si="8"/>
        <x:v>0</x:v>
      </x:c>
      <x:c r="Q41" s="28" t="n">
        <x:f t="shared" si="9">(P41+H41)*A41</x:f>
        <x:v>0</x:v>
      </x:c>
      <x:c r="R41" s="28" t="str">
        <x:f t="shared" si="22"/>
      </x:c>
      <x:c r="S41" s="28" t="n">
        <x:f t="shared" si="11"/>
        <x:v>0</x:v>
      </x:c>
      <x:c r="T41" s="28" t="n">
        <x:f t="shared" si="12">(S41+H41)*A41</x:f>
        <x:v>0</x:v>
      </x:c>
      <x:c r="U41" s="28" t="str">
        <x:f t="shared" si="13"/>
      </x:c>
      <x:c r="V41" s="28" t="n">
        <x:f t="shared" si="14"/>
        <x:v>0</x:v>
      </x:c>
      <x:c r="W41" s="28" t="n">
        <x:f t="shared" si="15">(V41+H41)*A41</x:f>
        <x:v>0</x:v>
      </x:c>
      <x:c r="X41" s="28" t="n">
        <x:v>1155.58</x:v>
      </x:c>
      <x:c r="Y41" s="28" t="n">
        <x:f t="shared" si="16"/>
        <x:v>346.67</x:v>
      </x:c>
      <x:c r="Z41" s="28" t="n">
        <x:f t="shared" si="17">(Y41+H41)*A41</x:f>
        <x:v>0</x:v>
      </x:c>
      <x:c r="AA41" s="28"/>
      <x:c r="AB41" s="28" t="n">
        <x:f t="shared" si="18"/>
        <x:v>0</x:v>
      </x:c>
      <x:c r="AC41" s="28" t="n">
        <x:f t="shared" si="19">(AB41+H41)*A41</x:f>
        <x:v>0</x:v>
      </x:c>
      <x:c r="AD41" s="28"/>
      <x:c r="AE41" s="28" t="n">
        <x:f t="shared" si="20"/>
        <x:v>0</x:v>
      </x:c>
      <x:c r="AF41" s="29" t="n">
        <x:f t="shared" si="21">(AE41+H41)*A41</x:f>
        <x:v>0</x:v>
      </x:c>
    </x:row>
    <x:row r="42" ht="15.75" customHeight="1">
      <x:c r="A42" s="26"/>
      <x:c r="B42" s="27" t="s">
        <x:v>90</x:v>
      </x:c>
      <x:c r="C42" s="27" t="s">
        <x:v>91</x:v>
      </x:c>
      <x:c r="D42" s="28" t="n">
        <x:v>868.31</x:v>
      </x:c>
      <x:c r="E42" s="28" t="n">
        <x:f t="shared" si="1"/>
        <x:v>260.49</x:v>
      </x:c>
      <x:c r="F42" s="28" t="n">
        <x:f t="shared" si="2">E42*A42</x:f>
        <x:v>0</x:v>
      </x:c>
      <x:c r="G42" s="28" t="n">
        <x:v>582.28</x:v>
      </x:c>
      <x:c r="H42" s="28" t="n">
        <x:f t="shared" si="3"/>
        <x:v>174.68</x:v>
      </x:c>
      <x:c r="I42" s="28" t="n">
        <x:v>347.01</x:v>
      </x:c>
      <x:c r="J42" s="28" t="n">
        <x:f t="shared" si="4"/>
        <x:v>104.1</x:v>
      </x:c>
      <x:c r="K42" s="28" t="n">
        <x:f t="shared" si="5">(J42+H42)*A42</x:f>
        <x:v>0</x:v>
      </x:c>
      <x:c r="L42" s="28" t="n">
        <x:v>296.22</x:v>
      </x:c>
      <x:c r="M42" s="28" t="n">
        <x:f t="shared" si="6"/>
        <x:v>77.02</x:v>
      </x:c>
      <x:c r="N42" s="28" t="n">
        <x:f t="shared" si="7">(M42+H42)*A42</x:f>
        <x:v>0</x:v>
      </x:c>
      <x:c r="O42" s="28" t="n">
        <x:v>292.43</x:v>
      </x:c>
      <x:c r="P42" s="28" t="n">
        <x:f t="shared" si="8"/>
        <x:v>87.73</x:v>
      </x:c>
      <x:c r="Q42" s="28" t="n">
        <x:f t="shared" si="9">(P42+H42)*A42</x:f>
        <x:v>0</x:v>
      </x:c>
      <x:c r="R42" s="28" t="n">
        <x:f t="shared" si="22"/>
        <x:v>296.22</x:v>
      </x:c>
      <x:c r="S42" s="28" t="n">
        <x:f t="shared" si="11"/>
        <x:v>88.87</x:v>
      </x:c>
      <x:c r="T42" s="28" t="n">
        <x:f t="shared" si="12">(S42+H42)*A42</x:f>
        <x:v>0</x:v>
      </x:c>
      <x:c r="U42" s="28" t="n">
        <x:f t="shared" si="13"/>
        <x:v>296.22</x:v>
      </x:c>
      <x:c r="V42" s="28" t="n">
        <x:f t="shared" si="14"/>
        <x:v>88.87</x:v>
      </x:c>
      <x:c r="W42" s="28" t="n">
        <x:f t="shared" si="15">(V42+H42)*A42</x:f>
        <x:v>0</x:v>
      </x:c>
      <x:c r="X42" s="28" t="n">
        <x:v>568.13</x:v>
      </x:c>
      <x:c r="Y42" s="28" t="n">
        <x:f t="shared" si="16"/>
        <x:v>170.44</x:v>
      </x:c>
      <x:c r="Z42" s="28" t="n">
        <x:f t="shared" si="17">(Y42+H42)*A42</x:f>
        <x:v>0</x:v>
      </x:c>
      <x:c r="AA42" s="28" t="n">
        <x:v>449.63</x:v>
      </x:c>
      <x:c r="AB42" s="28" t="n">
        <x:f t="shared" si="18"/>
        <x:v>134.89</x:v>
      </x:c>
      <x:c r="AC42" s="28" t="n">
        <x:f t="shared" si="19">(AB42+H42)*A42</x:f>
        <x:v>0</x:v>
      </x:c>
      <x:c r="AD42" s="28" t="n">
        <x:v>372.7</x:v>
      </x:c>
      <x:c r="AE42" s="28" t="n">
        <x:f t="shared" si="20"/>
        <x:v>111.81</x:v>
      </x:c>
      <x:c r="AF42" s="29" t="n">
        <x:f t="shared" si="21">(AE42+H42)*A42</x:f>
        <x:v>0</x:v>
      </x:c>
    </x:row>
    <x:row r="43" ht="15.75" customHeight="1">
      <x:c r="A43" s="26"/>
      <x:c r="B43" s="27" t="s">
        <x:v>92</x:v>
      </x:c>
      <x:c r="C43" s="27" t="s">
        <x:v>93</x:v>
      </x:c>
      <x:c r="D43" s="28" t="n">
        <x:v>332.54</x:v>
      </x:c>
      <x:c r="E43" s="28" t="n">
        <x:f t="shared" si="1"/>
        <x:v>99.76</x:v>
      </x:c>
      <x:c r="F43" s="28" t="n">
        <x:f t="shared" si="2">E43*A43</x:f>
        <x:v>0</x:v>
      </x:c>
      <x:c r="G43" s="28"/>
      <x:c r="H43" s="28" t="n">
        <x:f t="shared" si="3"/>
        <x:v>0</x:v>
      </x:c>
      <x:c r="I43" s="28"/>
      <x:c r="J43" s="28" t="n">
        <x:f t="shared" si="4"/>
        <x:v>0</x:v>
      </x:c>
      <x:c r="K43" s="28" t="n">
        <x:f t="shared" si="5">(J43+H43)*A43</x:f>
        <x:v>0</x:v>
      </x:c>
      <x:c r="L43" s="28"/>
      <x:c r="M43" s="28" t="n">
        <x:f t="shared" si="6"/>
        <x:v>0</x:v>
      </x:c>
      <x:c r="N43" s="28" t="n">
        <x:f t="shared" si="7">(M43+H43)*A43</x:f>
        <x:v>0</x:v>
      </x:c>
      <x:c r="O43" s="28"/>
      <x:c r="P43" s="28" t="n">
        <x:f t="shared" si="8"/>
        <x:v>0</x:v>
      </x:c>
      <x:c r="Q43" s="28" t="n">
        <x:f t="shared" si="9">(P43+H43)*A43</x:f>
        <x:v>0</x:v>
      </x:c>
      <x:c r="R43" s="28" t="str">
        <x:f t="shared" si="22"/>
      </x:c>
      <x:c r="S43" s="28" t="n">
        <x:f t="shared" si="11"/>
        <x:v>0</x:v>
      </x:c>
      <x:c r="T43" s="28" t="n">
        <x:f t="shared" si="12">(S43+H43)*A43</x:f>
        <x:v>0</x:v>
      </x:c>
      <x:c r="U43" s="28" t="str">
        <x:f t="shared" si="13"/>
      </x:c>
      <x:c r="V43" s="28" t="n">
        <x:f t="shared" si="14"/>
        <x:v>0</x:v>
      </x:c>
      <x:c r="W43" s="28" t="n">
        <x:f t="shared" si="15">(V43+H43)*A43</x:f>
        <x:v>0</x:v>
      </x:c>
      <x:c r="X43" s="28"/>
      <x:c r="Y43" s="28" t="n">
        <x:f t="shared" si="16"/>
        <x:v>0</x:v>
      </x:c>
      <x:c r="Z43" s="28" t="n">
        <x:f t="shared" si="17">(Y43+H43)*A43</x:f>
        <x:v>0</x:v>
      </x:c>
      <x:c r="AA43" s="28"/>
      <x:c r="AB43" s="28" t="n">
        <x:f t="shared" si="18"/>
        <x:v>0</x:v>
      </x:c>
      <x:c r="AC43" s="28" t="n">
        <x:f t="shared" si="19">(AB43+H43)*A43</x:f>
        <x:v>0</x:v>
      </x:c>
      <x:c r="AD43" s="28"/>
      <x:c r="AE43" s="28" t="n">
        <x:f t="shared" si="20"/>
        <x:v>0</x:v>
      </x:c>
      <x:c r="AF43" s="29" t="n">
        <x:f t="shared" si="21">(AE43+H43)*A43</x:f>
        <x:v>0</x:v>
      </x:c>
    </x:row>
    <x:row r="44" ht="15.75" customHeight="1">
      <x:c r="A44" s="26"/>
      <x:c r="B44" s="27" t="s">
        <x:v>94</x:v>
      </x:c>
      <x:c r="C44" s="27" t="s">
        <x:v>95</x:v>
      </x:c>
      <x:c r="D44" s="28" t="n">
        <x:v>382.4</x:v>
      </x:c>
      <x:c r="E44" s="28" t="n">
        <x:f t="shared" si="1"/>
        <x:v>114.72</x:v>
      </x:c>
      <x:c r="F44" s="28" t="n">
        <x:f t="shared" si="2">E44*A44</x:f>
        <x:v>0</x:v>
      </x:c>
      <x:c r="G44" s="28"/>
      <x:c r="H44" s="28" t="n">
        <x:f t="shared" si="3"/>
        <x:v>0</x:v>
      </x:c>
      <x:c r="I44" s="28"/>
      <x:c r="J44" s="28" t="n">
        <x:f t="shared" si="4"/>
        <x:v>0</x:v>
      </x:c>
      <x:c r="K44" s="28" t="n">
        <x:f t="shared" si="5">(J44+H44)*A44</x:f>
        <x:v>0</x:v>
      </x:c>
      <x:c r="L44" s="28"/>
      <x:c r="M44" s="28" t="n">
        <x:f t="shared" si="6"/>
        <x:v>0</x:v>
      </x:c>
      <x:c r="N44" s="28" t="n">
        <x:f t="shared" si="7">(M44+H44)*A44</x:f>
        <x:v>0</x:v>
      </x:c>
      <x:c r="O44" s="28"/>
      <x:c r="P44" s="28" t="n">
        <x:f t="shared" si="8"/>
        <x:v>0</x:v>
      </x:c>
      <x:c r="Q44" s="28" t="n">
        <x:f t="shared" si="9">(P44+H44)*A44</x:f>
        <x:v>0</x:v>
      </x:c>
      <x:c r="R44" s="28" t="str">
        <x:f t="shared" si="22"/>
      </x:c>
      <x:c r="S44" s="28" t="n">
        <x:f t="shared" si="11"/>
        <x:v>0</x:v>
      </x:c>
      <x:c r="T44" s="28" t="n">
        <x:f t="shared" si="12">(S44+H44)*A44</x:f>
        <x:v>0</x:v>
      </x:c>
      <x:c r="U44" s="28" t="str">
        <x:f t="shared" si="13"/>
      </x:c>
      <x:c r="V44" s="28" t="n">
        <x:f t="shared" si="14"/>
        <x:v>0</x:v>
      </x:c>
      <x:c r="W44" s="28" t="n">
        <x:f t="shared" si="15">(V44+H44)*A44</x:f>
        <x:v>0</x:v>
      </x:c>
      <x:c r="X44" s="28"/>
      <x:c r="Y44" s="28" t="n">
        <x:f t="shared" si="16"/>
        <x:v>0</x:v>
      </x:c>
      <x:c r="Z44" s="28" t="n">
        <x:f t="shared" si="17">(Y44+H44)*A44</x:f>
        <x:v>0</x:v>
      </x:c>
      <x:c r="AA44" s="28"/>
      <x:c r="AB44" s="28" t="n">
        <x:f t="shared" si="18"/>
        <x:v>0</x:v>
      </x:c>
      <x:c r="AC44" s="28" t="n">
        <x:f t="shared" si="19">(AB44+H44)*A44</x:f>
        <x:v>0</x:v>
      </x:c>
      <x:c r="AD44" s="28"/>
      <x:c r="AE44" s="28" t="n">
        <x:f t="shared" si="20"/>
        <x:v>0</x:v>
      </x:c>
      <x:c r="AF44" s="29" t="n">
        <x:f t="shared" si="21">(AE44+H44)*A44</x:f>
        <x:v>0</x:v>
      </x:c>
    </x:row>
    <x:row r="45" ht="15.75" customHeight="1">
      <x:c r="A45" s="26"/>
      <x:c r="B45" s="27" t="s">
        <x:v>96</x:v>
      </x:c>
      <x:c r="C45" s="27" t="s">
        <x:v>97</x:v>
      </x:c>
      <x:c r="D45" s="28" t="n">
        <x:v>453.72</x:v>
      </x:c>
      <x:c r="E45" s="28" t="n">
        <x:f t="shared" si="1"/>
        <x:v>136.12</x:v>
      </x:c>
      <x:c r="F45" s="28" t="n">
        <x:f t="shared" si="2">E45*A45</x:f>
        <x:v>0</x:v>
      </x:c>
      <x:c r="G45" s="28"/>
      <x:c r="H45" s="28" t="n">
        <x:f t="shared" si="3"/>
        <x:v>0</x:v>
      </x:c>
      <x:c r="I45" s="28"/>
      <x:c r="J45" s="28" t="n">
        <x:f t="shared" si="4"/>
        <x:v>0</x:v>
      </x:c>
      <x:c r="K45" s="28" t="n">
        <x:f t="shared" si="5">(J45+H45)*A45</x:f>
        <x:v>0</x:v>
      </x:c>
      <x:c r="L45" s="28"/>
      <x:c r="M45" s="28" t="n">
        <x:f t="shared" si="6"/>
        <x:v>0</x:v>
      </x:c>
      <x:c r="N45" s="28" t="n">
        <x:f t="shared" si="7">(M45+H45)*A45</x:f>
        <x:v>0</x:v>
      </x:c>
      <x:c r="O45" s="28"/>
      <x:c r="P45" s="28" t="n">
        <x:f t="shared" si="8"/>
        <x:v>0</x:v>
      </x:c>
      <x:c r="Q45" s="28" t="n">
        <x:f t="shared" si="9">(P45+H45)*A45</x:f>
        <x:v>0</x:v>
      </x:c>
      <x:c r="R45" s="28" t="str">
        <x:f t="shared" si="22"/>
      </x:c>
      <x:c r="S45" s="28" t="n">
        <x:f t="shared" si="11"/>
        <x:v>0</x:v>
      </x:c>
      <x:c r="T45" s="28" t="n">
        <x:f t="shared" si="12">(S45+H45)*A45</x:f>
        <x:v>0</x:v>
      </x:c>
      <x:c r="U45" s="28" t="str">
        <x:f t="shared" si="13"/>
      </x:c>
      <x:c r="V45" s="28" t="n">
        <x:f t="shared" si="14"/>
        <x:v>0</x:v>
      </x:c>
      <x:c r="W45" s="28" t="n">
        <x:f t="shared" si="15">(V45+H45)*A45</x:f>
        <x:v>0</x:v>
      </x:c>
      <x:c r="X45" s="28"/>
      <x:c r="Y45" s="28" t="n">
        <x:f t="shared" si="16"/>
        <x:v>0</x:v>
      </x:c>
      <x:c r="Z45" s="28" t="n">
        <x:f t="shared" si="17">(Y45+H45)*A45</x:f>
        <x:v>0</x:v>
      </x:c>
      <x:c r="AA45" s="28"/>
      <x:c r="AB45" s="28" t="n">
        <x:f t="shared" si="18"/>
        <x:v>0</x:v>
      </x:c>
      <x:c r="AC45" s="28" t="n">
        <x:f t="shared" si="19">(AB45+H45)*A45</x:f>
        <x:v>0</x:v>
      </x:c>
      <x:c r="AD45" s="28"/>
      <x:c r="AE45" s="28" t="n">
        <x:f t="shared" si="20"/>
        <x:v>0</x:v>
      </x:c>
      <x:c r="AF45" s="29" t="n">
        <x:f t="shared" si="21">(AE45+H45)*A45</x:f>
        <x:v>0</x:v>
      </x:c>
    </x:row>
    <x:row r="46" ht="15.75" customHeight="1">
      <x:c r="A46" s="26"/>
      <x:c r="B46" s="27" t="s">
        <x:v>98</x:v>
      </x:c>
      <x:c r="C46" s="27" t="s">
        <x:v>99</x:v>
      </x:c>
      <x:c r="D46" s="28" t="n">
        <x:v>880.88</x:v>
      </x:c>
      <x:c r="E46" s="28" t="n">
        <x:f t="shared" si="1"/>
        <x:v>264.27</x:v>
      </x:c>
      <x:c r="F46" s="28" t="n">
        <x:f t="shared" si="2">E46*A46</x:f>
        <x:v>0</x:v>
      </x:c>
      <x:c r="G46" s="28"/>
      <x:c r="H46" s="28" t="n">
        <x:f t="shared" si="3"/>
        <x:v>0</x:v>
      </x:c>
      <x:c r="I46" s="28"/>
      <x:c r="J46" s="28" t="n">
        <x:f t="shared" si="4"/>
        <x:v>0</x:v>
      </x:c>
      <x:c r="K46" s="28" t="n">
        <x:f t="shared" si="5">(J46+H46)*A46</x:f>
        <x:v>0</x:v>
      </x:c>
      <x:c r="L46" s="28"/>
      <x:c r="M46" s="28" t="n">
        <x:f t="shared" si="6"/>
        <x:v>0</x:v>
      </x:c>
      <x:c r="N46" s="28" t="n">
        <x:f t="shared" si="7">(M46+H46)*A46</x:f>
        <x:v>0</x:v>
      </x:c>
      <x:c r="O46" s="28"/>
      <x:c r="P46" s="28" t="n">
        <x:f t="shared" si="8"/>
        <x:v>0</x:v>
      </x:c>
      <x:c r="Q46" s="28" t="n">
        <x:f t="shared" si="9">(P46+H46)*A46</x:f>
        <x:v>0</x:v>
      </x:c>
      <x:c r="R46" s="28" t="str">
        <x:f t="shared" si="22"/>
      </x:c>
      <x:c r="S46" s="28" t="n">
        <x:f t="shared" si="11"/>
        <x:v>0</x:v>
      </x:c>
      <x:c r="T46" s="28" t="n">
        <x:f t="shared" si="12">(S46+H46)*A46</x:f>
        <x:v>0</x:v>
      </x:c>
      <x:c r="U46" s="28" t="str">
        <x:f t="shared" si="13"/>
      </x:c>
      <x:c r="V46" s="28" t="n">
        <x:f t="shared" si="14"/>
        <x:v>0</x:v>
      </x:c>
      <x:c r="W46" s="28" t="n">
        <x:f t="shared" si="15">(V46+H46)*A46</x:f>
        <x:v>0</x:v>
      </x:c>
      <x:c r="X46" s="28"/>
      <x:c r="Y46" s="28" t="n">
        <x:f t="shared" si="16"/>
        <x:v>0</x:v>
      </x:c>
      <x:c r="Z46" s="28" t="n">
        <x:f t="shared" si="17">(Y46+H46)*A46</x:f>
        <x:v>0</x:v>
      </x:c>
      <x:c r="AA46" s="28"/>
      <x:c r="AB46" s="28" t="n">
        <x:f t="shared" si="18"/>
        <x:v>0</x:v>
      </x:c>
      <x:c r="AC46" s="28" t="n">
        <x:f t="shared" si="19">(AB46+H46)*A46</x:f>
        <x:v>0</x:v>
      </x:c>
      <x:c r="AD46" s="28"/>
      <x:c r="AE46" s="28" t="n">
        <x:f t="shared" si="20"/>
        <x:v>0</x:v>
      </x:c>
      <x:c r="AF46" s="29" t="n">
        <x:f t="shared" si="21">(AE46+H46)*A46</x:f>
        <x:v>0</x:v>
      </x:c>
    </x:row>
    <x:row r="47" ht="15.75" customHeight="1">
      <x:c r="A47" s="26"/>
      <x:c r="B47" s="27" t="s">
        <x:v>100</x:v>
      </x:c>
      <x:c r="C47" s="27" t="s">
        <x:v>101</x:v>
      </x:c>
      <x:c r="D47" s="28" t="n">
        <x:v>208.83</x:v>
      </x:c>
      <x:c r="E47" s="28" t="n">
        <x:f t="shared" si="1"/>
        <x:v>62.65</x:v>
      </x:c>
      <x:c r="F47" s="28" t="n">
        <x:f t="shared" si="2">E47*A47</x:f>
        <x:v>0</x:v>
      </x:c>
      <x:c r="G47" s="28"/>
      <x:c r="H47" s="28" t="n">
        <x:f t="shared" si="3"/>
        <x:v>0</x:v>
      </x:c>
      <x:c r="I47" s="28"/>
      <x:c r="J47" s="28" t="n">
        <x:f t="shared" si="4"/>
        <x:v>0</x:v>
      </x:c>
      <x:c r="K47" s="28" t="n">
        <x:f t="shared" si="5">(J47+H47)*A47</x:f>
        <x:v>0</x:v>
      </x:c>
      <x:c r="L47" s="28"/>
      <x:c r="M47" s="28" t="n">
        <x:f t="shared" si="6"/>
        <x:v>0</x:v>
      </x:c>
      <x:c r="N47" s="28" t="n">
        <x:f t="shared" si="7">(M47+H47)*A47</x:f>
        <x:v>0</x:v>
      </x:c>
      <x:c r="O47" s="28"/>
      <x:c r="P47" s="28" t="n">
        <x:f t="shared" si="8"/>
        <x:v>0</x:v>
      </x:c>
      <x:c r="Q47" s="28" t="n">
        <x:f t="shared" si="9">(P47+H47)*A47</x:f>
        <x:v>0</x:v>
      </x:c>
      <x:c r="R47" s="28" t="str">
        <x:f t="shared" si="22"/>
      </x:c>
      <x:c r="S47" s="28" t="n">
        <x:f t="shared" si="11"/>
        <x:v>0</x:v>
      </x:c>
      <x:c r="T47" s="28" t="n">
        <x:f t="shared" si="12">(S47+H47)*A47</x:f>
        <x:v>0</x:v>
      </x:c>
      <x:c r="U47" s="28" t="str">
        <x:f t="shared" si="13"/>
      </x:c>
      <x:c r="V47" s="28" t="n">
        <x:f t="shared" si="14"/>
        <x:v>0</x:v>
      </x:c>
      <x:c r="W47" s="28" t="n">
        <x:f t="shared" si="15">(V47+H47)*A47</x:f>
        <x:v>0</x:v>
      </x:c>
      <x:c r="X47" s="28"/>
      <x:c r="Y47" s="28" t="n">
        <x:f t="shared" si="16"/>
        <x:v>0</x:v>
      </x:c>
      <x:c r="Z47" s="28" t="n">
        <x:f t="shared" si="17">(Y47+H47)*A47</x:f>
        <x:v>0</x:v>
      </x:c>
      <x:c r="AA47" s="28"/>
      <x:c r="AB47" s="28" t="n">
        <x:f t="shared" si="18"/>
        <x:v>0</x:v>
      </x:c>
      <x:c r="AC47" s="28" t="n">
        <x:f t="shared" si="19">(AB47+H47)*A47</x:f>
        <x:v>0</x:v>
      </x:c>
      <x:c r="AD47" s="28"/>
      <x:c r="AE47" s="28" t="n">
        <x:f t="shared" si="20"/>
        <x:v>0</x:v>
      </x:c>
      <x:c r="AF47" s="29" t="n">
        <x:f t="shared" si="21">(AE47+H47)*A47</x:f>
        <x:v>0</x:v>
      </x:c>
    </x:row>
    <x:row r="48" ht="15.75" customHeight="1">
      <x:c r="A48" s="26"/>
      <x:c r="B48" s="27" t="s">
        <x:v>102</x:v>
      </x:c>
      <x:c r="C48" s="27" t="s">
        <x:v>103</x:v>
      </x:c>
      <x:c r="D48" s="28" t="n">
        <x:v>1311.1</x:v>
      </x:c>
      <x:c r="E48" s="28" t="n">
        <x:f t="shared" si="1"/>
        <x:v>393.33</x:v>
      </x:c>
      <x:c r="F48" s="28" t="n">
        <x:f t="shared" si="2">E48*A48</x:f>
        <x:v>0</x:v>
      </x:c>
      <x:c r="G48" s="28" t="n">
        <x:v>950.5</x:v>
      </x:c>
      <x:c r="H48" s="28" t="n">
        <x:f t="shared" si="3"/>
        <x:v>285.15</x:v>
      </x:c>
      <x:c r="I48" s="28" t="n">
        <x:v>453.19</x:v>
      </x:c>
      <x:c r="J48" s="28" t="n">
        <x:f t="shared" si="4"/>
        <x:v>135.96</x:v>
      </x:c>
      <x:c r="K48" s="28" t="n">
        <x:f t="shared" si="5">(J48+H48)*A48</x:f>
        <x:v>0</x:v>
      </x:c>
      <x:c r="L48" s="28" t="n">
        <x:v>375.61</x:v>
      </x:c>
      <x:c r="M48" s="28" t="n">
        <x:f t="shared" si="6"/>
        <x:v>97.66</x:v>
      </x:c>
      <x:c r="N48" s="28" t="n">
        <x:f t="shared" si="7">(M48+H48)*A48</x:f>
        <x:v>0</x:v>
      </x:c>
      <x:c r="O48" s="28" t="n">
        <x:v>354.7</x:v>
      </x:c>
      <x:c r="P48" s="28" t="n">
        <x:f t="shared" si="8"/>
        <x:v>106.41</x:v>
      </x:c>
      <x:c r="Q48" s="28" t="n">
        <x:f t="shared" si="9">(P48+H48)*A48</x:f>
        <x:v>0</x:v>
      </x:c>
      <x:c r="R48" s="28" t="n">
        <x:f t="shared" si="22"/>
        <x:v>375.61</x:v>
      </x:c>
      <x:c r="S48" s="28" t="n">
        <x:f t="shared" si="11"/>
        <x:v>112.68</x:v>
      </x:c>
      <x:c r="T48" s="28" t="n">
        <x:f t="shared" si="12">(S48+H48)*A48</x:f>
        <x:v>0</x:v>
      </x:c>
      <x:c r="U48" s="28" t="n">
        <x:f t="shared" si="13"/>
        <x:v>375.61</x:v>
      </x:c>
      <x:c r="V48" s="28" t="n">
        <x:f t="shared" si="14"/>
        <x:v>112.68</x:v>
      </x:c>
      <x:c r="W48" s="28" t="n">
        <x:f t="shared" si="15">(V48+H48)*A48</x:f>
        <x:v>0</x:v>
      </x:c>
      <x:c r="X48" s="28" t="n">
        <x:v>874.03</x:v>
      </x:c>
      <x:c r="Y48" s="28" t="n">
        <x:f t="shared" si="16"/>
        <x:v>262.21</x:v>
      </x:c>
      <x:c r="Z48" s="28" t="n">
        <x:f t="shared" si="17">(Y48+H48)*A48</x:f>
        <x:v>0</x:v>
      </x:c>
      <x:c r="AA48" s="28" t="n">
        <x:v>409.17</x:v>
      </x:c>
      <x:c r="AB48" s="28" t="n">
        <x:f t="shared" si="18"/>
        <x:v>122.75</x:v>
      </x:c>
      <x:c r="AC48" s="28" t="n">
        <x:f t="shared" si="19">(AB48+H48)*A48</x:f>
        <x:v>0</x:v>
      </x:c>
      <x:c r="AD48" s="28" t="n">
        <x:v>492.54</x:v>
      </x:c>
      <x:c r="AE48" s="28" t="n">
        <x:f t="shared" si="20"/>
        <x:v>147.76</x:v>
      </x:c>
      <x:c r="AF48" s="29" t="n">
        <x:f t="shared" si="21">(AE48+H48)*A48</x:f>
        <x:v>0</x:v>
      </x:c>
    </x:row>
    <x:row r="49" ht="15.75" customHeight="1">
      <x:c r="A49" s="26"/>
      <x:c r="B49" s="27" t="s">
        <x:v>104</x:v>
      </x:c>
      <x:c r="C49" s="27" t="s">
        <x:v>105</x:v>
      </x:c>
      <x:c r="D49" s="28"/>
      <x:c r="E49" s="28" t="n">
        <x:f t="shared" si="1"/>
        <x:v>0</x:v>
      </x:c>
      <x:c r="F49" s="28" t="n">
        <x:f t="shared" si="2">E49*A49</x:f>
        <x:v>0</x:v>
      </x:c>
      <x:c r="G49" s="28"/>
      <x:c r="H49" s="28" t="n">
        <x:f t="shared" si="3"/>
        <x:v>0</x:v>
      </x:c>
      <x:c r="I49" s="28"/>
      <x:c r="J49" s="28" t="n">
        <x:f t="shared" si="4"/>
        <x:v>0</x:v>
      </x:c>
      <x:c r="K49" s="28" t="n">
        <x:f t="shared" si="5">(J49+H49)*A49</x:f>
        <x:v>0</x:v>
      </x:c>
      <x:c r="L49" s="28"/>
      <x:c r="M49" s="28" t="n">
        <x:f t="shared" si="6"/>
        <x:v>0</x:v>
      </x:c>
      <x:c r="N49" s="28" t="n">
        <x:f t="shared" si="7">(M49+H49)*A49</x:f>
        <x:v>0</x:v>
      </x:c>
      <x:c r="O49" s="28"/>
      <x:c r="P49" s="28" t="n">
        <x:f t="shared" si="8"/>
        <x:v>0</x:v>
      </x:c>
      <x:c r="Q49" s="28" t="n">
        <x:f t="shared" si="9">(P49+H49)*A49</x:f>
        <x:v>0</x:v>
      </x:c>
      <x:c r="R49" s="28"/>
      <x:c r="S49" s="28" t="n">
        <x:f t="shared" si="11"/>
        <x:v>0</x:v>
      </x:c>
      <x:c r="T49" s="28" t="n">
        <x:f t="shared" si="12">(S49+H49)*A49</x:f>
        <x:v>0</x:v>
      </x:c>
      <x:c r="U49" s="28" t="str">
        <x:f t="shared" si="13"/>
      </x:c>
      <x:c r="V49" s="28" t="n">
        <x:f t="shared" si="14"/>
        <x:v>0</x:v>
      </x:c>
      <x:c r="W49" s="28" t="n">
        <x:f t="shared" si="15">(V49+H49)*A49</x:f>
        <x:v>0</x:v>
      </x:c>
      <x:c r="X49" s="28"/>
      <x:c r="Y49" s="28" t="n">
        <x:f t="shared" si="16"/>
        <x:v>0</x:v>
      </x:c>
      <x:c r="Z49" s="28" t="n">
        <x:f t="shared" si="17">(Y49+H49)*A49</x:f>
        <x:v>0</x:v>
      </x:c>
      <x:c r="AA49" s="28"/>
      <x:c r="AB49" s="28" t="n">
        <x:f t="shared" si="18"/>
        <x:v>0</x:v>
      </x:c>
      <x:c r="AC49" s="28" t="n">
        <x:f t="shared" si="19">(AB49+H49)*A49</x:f>
        <x:v>0</x:v>
      </x:c>
      <x:c r="AD49" s="28"/>
      <x:c r="AE49" s="28" t="n">
        <x:f t="shared" si="20"/>
        <x:v>0</x:v>
      </x:c>
      <x:c r="AF49" s="29" t="n">
        <x:f t="shared" si="21">(AE49+H49)*A49</x:f>
        <x:v>0</x:v>
      </x:c>
    </x:row>
    <x:row r="50" ht="15.75" customHeight="1">
      <x:c r="A50" s="26"/>
      <x:c r="B50" s="27" t="s">
        <x:v>106</x:v>
      </x:c>
      <x:c r="C50" s="27" t="s">
        <x:v>107</x:v>
      </x:c>
      <x:c r="D50" s="28" t="n">
        <x:v>1366.37</x:v>
      </x:c>
      <x:c r="E50" s="28" t="n">
        <x:f t="shared" si="1"/>
        <x:v>409.91</x:v>
      </x:c>
      <x:c r="F50" s="28" t="n">
        <x:f t="shared" si="2">E50*A50</x:f>
        <x:v>0</x:v>
      </x:c>
      <x:c r="G50" s="28" t="n">
        <x:v>971.53</x:v>
      </x:c>
      <x:c r="H50" s="28" t="n">
        <x:f t="shared" si="3"/>
        <x:v>291.46</x:v>
      </x:c>
      <x:c r="I50" s="28" t="n">
        <x:v>492.32</x:v>
      </x:c>
      <x:c r="J50" s="28" t="n">
        <x:f t="shared" si="4"/>
        <x:v>147.7</x:v>
      </x:c>
      <x:c r="K50" s="28" t="n">
        <x:f t="shared" si="5">(J50+H50)*A50</x:f>
        <x:v>0</x:v>
      </x:c>
      <x:c r="L50" s="28" t="n">
        <x:v>409.07</x:v>
      </x:c>
      <x:c r="M50" s="28" t="n">
        <x:f t="shared" si="6"/>
        <x:v>106.36</x:v>
      </x:c>
      <x:c r="N50" s="28" t="n">
        <x:f t="shared" si="7">(M50+H50)*A50</x:f>
        <x:v>0</x:v>
      </x:c>
      <x:c r="O50" s="28" t="n">
        <x:v>386.29</x:v>
      </x:c>
      <x:c r="P50" s="28" t="n">
        <x:f t="shared" si="8"/>
        <x:v>115.89</x:v>
      </x:c>
      <x:c r="Q50" s="28" t="n">
        <x:f t="shared" si="9">(P50+H50)*A50</x:f>
        <x:v>0</x:v>
      </x:c>
      <x:c r="R50" s="28" t="n">
        <x:f>L50</x:f>
        <x:v>409.07</x:v>
      </x:c>
      <x:c r="S50" s="28" t="n">
        <x:f t="shared" si="11"/>
        <x:v>122.72</x:v>
      </x:c>
      <x:c r="T50" s="28" t="n">
        <x:f t="shared" si="12">(S50+H50)*A50</x:f>
        <x:v>0</x:v>
      </x:c>
      <x:c r="U50" s="28" t="n">
        <x:f t="shared" si="13"/>
        <x:v>409.07</x:v>
      </x:c>
      <x:c r="V50" s="28" t="n">
        <x:f t="shared" si="14"/>
        <x:v>122.72</x:v>
      </x:c>
      <x:c r="W50" s="28" t="n">
        <x:f t="shared" si="15">(V50+H50)*A50</x:f>
        <x:v>0</x:v>
      </x:c>
      <x:c r="X50" s="28" t="n">
        <x:v>940.07</x:v>
      </x:c>
      <x:c r="Y50" s="28" t="n">
        <x:f t="shared" si="16"/>
        <x:v>282.02</x:v>
      </x:c>
      <x:c r="Z50" s="28" t="n">
        <x:f t="shared" si="17">(Y50+H50)*A50</x:f>
        <x:v>0</x:v>
      </x:c>
      <x:c r="AA50" s="28" t="n">
        <x:v>447.16</x:v>
      </x:c>
      <x:c r="AB50" s="28" t="n">
        <x:f t="shared" si="18"/>
        <x:v>134.15</x:v>
      </x:c>
      <x:c r="AC50" s="28" t="n">
        <x:f t="shared" si="19">(AB50+H50)*A50</x:f>
        <x:v>0</x:v>
      </x:c>
      <x:c r="AD50" s="28" t="n">
        <x:v>532.87</x:v>
      </x:c>
      <x:c r="AE50" s="28" t="n">
        <x:f t="shared" si="20"/>
        <x:v>159.86</x:v>
      </x:c>
      <x:c r="AF50" s="29" t="n">
        <x:f t="shared" si="21">(AE50+H50)*A50</x:f>
        <x:v>0</x:v>
      </x:c>
    </x:row>
    <x:row r="51" ht="15.75" customHeight="1">
      <x:c r="A51" s="26"/>
      <x:c r="B51" s="27" t="s">
        <x:v>108</x:v>
      </x:c>
      <x:c r="C51" s="27" t="s">
        <x:v>109</x:v>
      </x:c>
      <x:c r="D51" s="28"/>
      <x:c r="E51" s="28" t="n">
        <x:f t="shared" si="1"/>
        <x:v>0</x:v>
      </x:c>
      <x:c r="F51" s="28" t="n">
        <x:f t="shared" si="2">E51*A51</x:f>
        <x:v>0</x:v>
      </x:c>
      <x:c r="G51" s="28"/>
      <x:c r="H51" s="28" t="n">
        <x:f t="shared" si="3"/>
        <x:v>0</x:v>
      </x:c>
      <x:c r="I51" s="28"/>
      <x:c r="J51" s="28" t="n">
        <x:f t="shared" si="4"/>
        <x:v>0</x:v>
      </x:c>
      <x:c r="K51" s="28" t="n">
        <x:f t="shared" si="5">(J51+H51)*A51</x:f>
        <x:v>0</x:v>
      </x:c>
      <x:c r="L51" s="28"/>
      <x:c r="M51" s="28" t="n">
        <x:f t="shared" si="6"/>
        <x:v>0</x:v>
      </x:c>
      <x:c r="N51" s="28" t="n">
        <x:f t="shared" si="7">(M51+H51)*A51</x:f>
        <x:v>0</x:v>
      </x:c>
      <x:c r="O51" s="28"/>
      <x:c r="P51" s="28" t="n">
        <x:f t="shared" si="8"/>
        <x:v>0</x:v>
      </x:c>
      <x:c r="Q51" s="28" t="n">
        <x:f t="shared" si="9">(P51+H51)*A51</x:f>
        <x:v>0</x:v>
      </x:c>
      <x:c r="R51" s="28"/>
      <x:c r="S51" s="28" t="n">
        <x:f t="shared" si="11"/>
        <x:v>0</x:v>
      </x:c>
      <x:c r="T51" s="28" t="n">
        <x:f t="shared" si="12">(S51+H51)*A51</x:f>
        <x:v>0</x:v>
      </x:c>
      <x:c r="U51" s="28" t="str">
        <x:f t="shared" si="13"/>
      </x:c>
      <x:c r="V51" s="28" t="n">
        <x:f t="shared" si="14"/>
        <x:v>0</x:v>
      </x:c>
      <x:c r="W51" s="28" t="n">
        <x:f t="shared" si="15">(V51+H51)*A51</x:f>
        <x:v>0</x:v>
      </x:c>
      <x:c r="X51" s="28"/>
      <x:c r="Y51" s="28" t="n">
        <x:f t="shared" si="16"/>
        <x:v>0</x:v>
      </x:c>
      <x:c r="Z51" s="28" t="n">
        <x:f t="shared" si="17">(Y51+H51)*A51</x:f>
        <x:v>0</x:v>
      </x:c>
      <x:c r="AA51" s="28"/>
      <x:c r="AB51" s="28" t="n">
        <x:f t="shared" si="18"/>
        <x:v>0</x:v>
      </x:c>
      <x:c r="AC51" s="28" t="n">
        <x:f t="shared" si="19">(AB51+H51)*A51</x:f>
        <x:v>0</x:v>
      </x:c>
      <x:c r="AD51" s="28"/>
      <x:c r="AE51" s="28" t="n">
        <x:f t="shared" si="20"/>
        <x:v>0</x:v>
      </x:c>
      <x:c r="AF51" s="29" t="n">
        <x:f t="shared" si="21">(AE51+H51)*A51</x:f>
        <x:v>0</x:v>
      </x:c>
    </x:row>
    <x:row r="52" ht="15.75" customHeight="1">
      <x:c r="A52" s="26"/>
      <x:c r="B52" s="27" t="s">
        <x:v>110</x:v>
      </x:c>
      <x:c r="C52" s="27" t="s">
        <x:v>111</x:v>
      </x:c>
      <x:c r="D52" s="28"/>
      <x:c r="E52" s="28" t="n">
        <x:f t="shared" si="1"/>
        <x:v>0</x:v>
      </x:c>
      <x:c r="F52" s="28" t="n">
        <x:f t="shared" si="2">E52*A52</x:f>
        <x:v>0</x:v>
      </x:c>
      <x:c r="G52" s="28"/>
      <x:c r="H52" s="28" t="n">
        <x:f t="shared" si="3"/>
        <x:v>0</x:v>
      </x:c>
      <x:c r="I52" s="28" t="n">
        <x:v>525.86</x:v>
      </x:c>
      <x:c r="J52" s="28" t="n">
        <x:f t="shared" si="4"/>
        <x:v>157.76</x:v>
      </x:c>
      <x:c r="K52" s="28" t="n">
        <x:f t="shared" si="5">(J52+H52)*A52</x:f>
        <x:v>0</x:v>
      </x:c>
      <x:c r="L52" s="28" t="n">
        <x:v>442.66</x:v>
      </x:c>
      <x:c r="M52" s="28" t="n">
        <x:f t="shared" si="6"/>
        <x:v>115.09</x:v>
      </x:c>
      <x:c r="N52" s="28" t="n">
        <x:f t="shared" si="7">(M52+H52)*A52</x:f>
        <x:v>0</x:v>
      </x:c>
      <x:c r="O52" s="28" t="n">
        <x:v>417.93</x:v>
      </x:c>
      <x:c r="P52" s="28" t="n">
        <x:f t="shared" si="8"/>
        <x:v>125.38</x:v>
      </x:c>
      <x:c r="Q52" s="28" t="n">
        <x:f t="shared" si="9">(P52+H52)*A52</x:f>
        <x:v>0</x:v>
      </x:c>
      <x:c r="R52" s="28" t="n">
        <x:f>L52</x:f>
        <x:v>442.66</x:v>
      </x:c>
      <x:c r="S52" s="28" t="n">
        <x:f t="shared" si="11"/>
        <x:v>132.8</x:v>
      </x:c>
      <x:c r="T52" s="28" t="n">
        <x:f t="shared" si="12">(S52+H52)*A52</x:f>
        <x:v>0</x:v>
      </x:c>
      <x:c r="U52" s="28" t="n">
        <x:f t="shared" si="13"/>
        <x:v>442.66</x:v>
      </x:c>
      <x:c r="V52" s="28" t="n">
        <x:f t="shared" si="14"/>
        <x:v>132.8</x:v>
      </x:c>
      <x:c r="W52" s="28" t="n">
        <x:f t="shared" si="15">(V52+H52)*A52</x:f>
        <x:v>0</x:v>
      </x:c>
      <x:c r="X52" s="28" t="n">
        <x:v>1006.11</x:v>
      </x:c>
      <x:c r="Y52" s="28" t="n">
        <x:f t="shared" si="16"/>
        <x:v>301.83</x:v>
      </x:c>
      <x:c r="Z52" s="28" t="n">
        <x:f t="shared" si="17">(Y52+H52)*A52</x:f>
        <x:v>0</x:v>
      </x:c>
      <x:c r="AA52" s="28" t="n">
        <x:v>481</x:v>
      </x:c>
      <x:c r="AB52" s="28" t="n">
        <x:f t="shared" si="18"/>
        <x:v>144.3</x:v>
      </x:c>
      <x:c r="AC52" s="28" t="n">
        <x:f t="shared" si="19">(AB52+H52)*A52</x:f>
        <x:v>0</x:v>
      </x:c>
      <x:c r="AD52" s="28" t="n">
        <x:v>569.21</x:v>
      </x:c>
      <x:c r="AE52" s="28" t="n">
        <x:f t="shared" si="20"/>
        <x:v>170.76</x:v>
      </x:c>
      <x:c r="AF52" s="29" t="n">
        <x:f t="shared" si="21">(AE52+H52)*A52</x:f>
        <x:v>0</x:v>
      </x:c>
    </x:row>
    <x:row r="53" ht="15.75" customHeight="1">
      <x:c r="A53" s="26"/>
      <x:c r="B53" s="27" t="s">
        <x:v>112</x:v>
      </x:c>
      <x:c r="C53" s="27" t="s">
        <x:v>113</x:v>
      </x:c>
      <x:c r="D53" s="28" t="n">
        <x:v>1421.56</x:v>
      </x:c>
      <x:c r="E53" s="28" t="n">
        <x:f t="shared" si="1"/>
        <x:v>426.47</x:v>
      </x:c>
      <x:c r="F53" s="28" t="n">
        <x:f t="shared" si="2">E53*A53</x:f>
        <x:v>0</x:v>
      </x:c>
      <x:c r="G53" s="28" t="n">
        <x:v>995.59</x:v>
      </x:c>
      <x:c r="H53" s="28" t="n">
        <x:f t="shared" si="3"/>
        <x:v>298.68</x:v>
      </x:c>
      <x:c r="I53" s="30"/>
      <x:c r="J53" s="28" t="n">
        <x:f t="shared" si="4"/>
        <x:v>0</x:v>
      </x:c>
      <x:c r="K53" s="28" t="n">
        <x:f t="shared" si="5">(J53+H53)*A53</x:f>
        <x:v>0</x:v>
      </x:c>
      <x:c r="L53" s="30"/>
      <x:c r="M53" s="28" t="n">
        <x:f t="shared" si="6"/>
        <x:v>0</x:v>
      </x:c>
      <x:c r="N53" s="28" t="n">
        <x:f t="shared" si="7">(M53+H53)*A53</x:f>
        <x:v>0</x:v>
      </x:c>
      <x:c r="O53" s="30"/>
      <x:c r="P53" s="28" t="n">
        <x:f t="shared" si="8"/>
        <x:v>0</x:v>
      </x:c>
      <x:c r="Q53" s="28" t="n">
        <x:f t="shared" si="9">(P53+H53)*A53</x:f>
        <x:v>0</x:v>
      </x:c>
      <x:c r="R53" s="30"/>
      <x:c r="S53" s="28" t="n">
        <x:f t="shared" si="11"/>
        <x:v>0</x:v>
      </x:c>
      <x:c r="T53" s="28" t="n">
        <x:f t="shared" si="12">(S53+H53)*A53</x:f>
        <x:v>0</x:v>
      </x:c>
      <x:c r="U53" s="28" t="str">
        <x:f t="shared" si="13"/>
      </x:c>
      <x:c r="V53" s="28" t="n">
        <x:f t="shared" si="14"/>
        <x:v>0</x:v>
      </x:c>
      <x:c r="W53" s="28" t="n">
        <x:f t="shared" si="15">(V53+H53)*A53</x:f>
        <x:v>0</x:v>
      </x:c>
      <x:c r="X53" s="31"/>
      <x:c r="Y53" s="28" t="n">
        <x:f t="shared" si="16"/>
        <x:v>0</x:v>
      </x:c>
      <x:c r="Z53" s="28" t="n">
        <x:f t="shared" si="17">(Y53+H53)*A53</x:f>
        <x:v>0</x:v>
      </x:c>
      <x:c r="AA53" s="28"/>
      <x:c r="AB53" s="28" t="n">
        <x:f t="shared" si="18"/>
        <x:v>0</x:v>
      </x:c>
      <x:c r="AC53" s="28" t="n">
        <x:f t="shared" si="19">(AB53+H53)*A53</x:f>
        <x:v>0</x:v>
      </x:c>
      <x:c r="AD53" s="28"/>
      <x:c r="AE53" s="28" t="n">
        <x:f t="shared" si="20"/>
        <x:v>0</x:v>
      </x:c>
      <x:c r="AF53" s="29" t="n">
        <x:f t="shared" si="21">(AE53+H53)*A53</x:f>
        <x:v>0</x:v>
      </x:c>
    </x:row>
    <x:row r="54" ht="15.75" customHeight="1">
      <x:c r="A54" s="26"/>
      <x:c r="B54" s="27" t="s">
        <x:v>114</x:v>
      </x:c>
      <x:c r="C54" s="27" t="s">
        <x:v>115</x:v>
      </x:c>
      <x:c r="D54" s="28" t="n">
        <x:v>1380.05</x:v>
      </x:c>
      <x:c r="E54" s="28" t="n">
        <x:f t="shared" si="1"/>
        <x:v>414.01</x:v>
      </x:c>
      <x:c r="F54" s="28" t="n">
        <x:f t="shared" si="2">E54*A54</x:f>
        <x:v>0</x:v>
      </x:c>
      <x:c r="G54" s="28" t="n">
        <x:v>980.31</x:v>
      </x:c>
      <x:c r="H54" s="28" t="n">
        <x:f t="shared" si="3"/>
        <x:v>294.09</x:v>
      </x:c>
      <x:c r="I54" s="28" t="n">
        <x:v>495.69</x:v>
      </x:c>
      <x:c r="J54" s="28" t="n">
        <x:f t="shared" si="4"/>
        <x:v>148.71</x:v>
      </x:c>
      <x:c r="K54" s="28" t="n">
        <x:f t="shared" si="5">(J54+H54)*A54</x:f>
        <x:v>0</x:v>
      </x:c>
      <x:c r="L54" s="28" t="n">
        <x:v>415.59</x:v>
      </x:c>
      <x:c r="M54" s="28" t="n">
        <x:f t="shared" si="6"/>
        <x:v>108.05</x:v>
      </x:c>
      <x:c r="N54" s="28" t="n">
        <x:f t="shared" si="7">(M54+H54)*A54</x:f>
        <x:v>0</x:v>
      </x:c>
      <x:c r="O54" s="28"/>
      <x:c r="P54" s="28" t="n">
        <x:f t="shared" si="8"/>
        <x:v>0</x:v>
      </x:c>
      <x:c r="Q54" s="28" t="n">
        <x:f t="shared" si="9">(P54+H54)*A54</x:f>
        <x:v>0</x:v>
      </x:c>
      <x:c r="R54" s="28" t="n">
        <x:f t="shared" ref="R54:R56" si="23">L54</x:f>
        <x:v>415.59</x:v>
      </x:c>
      <x:c r="S54" s="28" t="n">
        <x:f t="shared" si="11"/>
        <x:v>124.68</x:v>
      </x:c>
      <x:c r="T54" s="28" t="n">
        <x:f t="shared" si="12">(S54+H54)*A54</x:f>
        <x:v>0</x:v>
      </x:c>
      <x:c r="U54" s="28" t="n">
        <x:f t="shared" si="13"/>
        <x:v>415.59</x:v>
      </x:c>
      <x:c r="V54" s="28" t="n">
        <x:f t="shared" si="14"/>
        <x:v>124.68</x:v>
      </x:c>
      <x:c r="W54" s="28" t="n">
        <x:f t="shared" si="15">(V54+H54)*A54</x:f>
        <x:v>0</x:v>
      </x:c>
      <x:c r="X54" s="28"/>
      <x:c r="Y54" s="28" t="n">
        <x:f t="shared" si="16"/>
        <x:v>0</x:v>
      </x:c>
      <x:c r="Z54" s="28" t="n">
        <x:f t="shared" si="17">(Y54+H54)*A54</x:f>
        <x:v>0</x:v>
      </x:c>
      <x:c r="AA54" s="28"/>
      <x:c r="AB54" s="28" t="n">
        <x:f t="shared" si="18"/>
        <x:v>0</x:v>
      </x:c>
      <x:c r="AC54" s="28" t="n">
        <x:f t="shared" si="19">(AB54+H54)*A54</x:f>
        <x:v>0</x:v>
      </x:c>
      <x:c r="AD54" s="28"/>
      <x:c r="AE54" s="28" t="n">
        <x:f t="shared" si="20"/>
        <x:v>0</x:v>
      </x:c>
      <x:c r="AF54" s="29" t="n">
        <x:f t="shared" si="21">(AE54+H54)*A54</x:f>
        <x:v>0</x:v>
      </x:c>
    </x:row>
    <x:row r="55" ht="15.75" customHeight="1">
      <x:c r="A55" s="26"/>
      <x:c r="B55" s="27" t="s">
        <x:v>116</x:v>
      </x:c>
      <x:c r="C55" s="27" t="s">
        <x:v>117</x:v>
      </x:c>
      <x:c r="D55" s="28" t="n">
        <x:v>1438.33</x:v>
      </x:c>
      <x:c r="E55" s="28" t="n">
        <x:f t="shared" si="1"/>
        <x:v>431.5</x:v>
      </x:c>
      <x:c r="F55" s="28" t="n">
        <x:f t="shared" si="2">E55*A55</x:f>
        <x:v>0</x:v>
      </x:c>
      <x:c r="G55" s="28" t="n">
        <x:v>1018.6</x:v>
      </x:c>
      <x:c r="H55" s="28" t="n">
        <x:f t="shared" si="3"/>
        <x:v>305.58</x:v>
      </x:c>
      <x:c r="I55" s="28" t="n">
        <x:v>520.8</x:v>
      </x:c>
      <x:c r="J55" s="28" t="n">
        <x:f t="shared" si="4"/>
        <x:v>156.24</x:v>
      </x:c>
      <x:c r="K55" s="28" t="n">
        <x:f t="shared" si="5">(J55+H55)*A55</x:f>
        <x:v>0</x:v>
      </x:c>
      <x:c r="L55" s="28" t="n">
        <x:v>434.95</x:v>
      </x:c>
      <x:c r="M55" s="28" t="n">
        <x:f t="shared" si="6"/>
        <x:v>113.09</x:v>
      </x:c>
      <x:c r="N55" s="28" t="n">
        <x:f t="shared" si="7">(M55+H55)*A55</x:f>
        <x:v>0</x:v>
      </x:c>
      <x:c r="O55" s="28"/>
      <x:c r="P55" s="28" t="n">
        <x:f t="shared" si="8"/>
        <x:v>0</x:v>
      </x:c>
      <x:c r="Q55" s="28" t="n">
        <x:f t="shared" si="9">(P55+H55)*A55</x:f>
        <x:v>0</x:v>
      </x:c>
      <x:c r="R55" s="28" t="n">
        <x:f t="shared" si="23"/>
        <x:v>434.95</x:v>
      </x:c>
      <x:c r="S55" s="28" t="n">
        <x:f t="shared" si="11"/>
        <x:v>130.48</x:v>
      </x:c>
      <x:c r="T55" s="28" t="n">
        <x:f t="shared" si="12">(S55+H55)*A55</x:f>
        <x:v>0</x:v>
      </x:c>
      <x:c r="U55" s="28" t="n">
        <x:f t="shared" si="13"/>
        <x:v>434.95</x:v>
      </x:c>
      <x:c r="V55" s="28" t="n">
        <x:f t="shared" si="14"/>
        <x:v>130.48</x:v>
      </x:c>
      <x:c r="W55" s="28" t="n">
        <x:f t="shared" si="15">(V55+H55)*A55</x:f>
        <x:v>0</x:v>
      </x:c>
      <x:c r="X55" s="28"/>
      <x:c r="Y55" s="28" t="n">
        <x:f t="shared" si="16"/>
        <x:v>0</x:v>
      </x:c>
      <x:c r="Z55" s="28" t="n">
        <x:f t="shared" si="17">(Y55+H55)*A55</x:f>
        <x:v>0</x:v>
      </x:c>
      <x:c r="AA55" s="28"/>
      <x:c r="AB55" s="28" t="n">
        <x:f t="shared" si="18"/>
        <x:v>0</x:v>
      </x:c>
      <x:c r="AC55" s="28" t="n">
        <x:f t="shared" si="19">(AB55+H55)*A55</x:f>
        <x:v>0</x:v>
      </x:c>
      <x:c r="AD55" s="28"/>
      <x:c r="AE55" s="28" t="n">
        <x:f t="shared" si="20"/>
        <x:v>0</x:v>
      </x:c>
      <x:c r="AF55" s="29" t="n">
        <x:f t="shared" si="21">(AE55+H55)*A55</x:f>
        <x:v>0</x:v>
      </x:c>
    </x:row>
    <x:row r="56" ht="15.75" customHeight="1">
      <x:c r="A56" s="26"/>
      <x:c r="B56" s="27" t="s">
        <x:v>118</x:v>
      </x:c>
      <x:c r="C56" s="27" t="s">
        <x:v>119</x:v>
      </x:c>
      <x:c r="D56" s="28" t="n">
        <x:v>1496.34</x:v>
      </x:c>
      <x:c r="E56" s="28" t="n">
        <x:f t="shared" si="1"/>
        <x:v>448.9</x:v>
      </x:c>
      <x:c r="F56" s="28" t="n">
        <x:f t="shared" si="2">E56*A56</x:f>
        <x:v>0</x:v>
      </x:c>
      <x:c r="G56" s="28" t="n">
        <x:v>1044.7</x:v>
      </x:c>
      <x:c r="H56" s="28" t="n">
        <x:f t="shared" si="3"/>
        <x:v>313.41</x:v>
      </x:c>
      <x:c r="I56" s="28" t="n">
        <x:v>558.61</x:v>
      </x:c>
      <x:c r="J56" s="28" t="n">
        <x:f t="shared" si="4"/>
        <x:v>167.58</x:v>
      </x:c>
      <x:c r="K56" s="28" t="n">
        <x:f t="shared" si="5">(J56+H56)*A56</x:f>
        <x:v>0</x:v>
      </x:c>
      <x:c r="L56" s="28" t="n">
        <x:v>468.89</x:v>
      </x:c>
      <x:c r="M56" s="28" t="n">
        <x:f t="shared" si="6"/>
        <x:v>121.91</x:v>
      </x:c>
      <x:c r="N56" s="28" t="n">
        <x:f t="shared" si="7">(M56+H56)*A56</x:f>
        <x:v>0</x:v>
      </x:c>
      <x:c r="O56" s="28"/>
      <x:c r="P56" s="28" t="n">
        <x:f t="shared" si="8"/>
        <x:v>0</x:v>
      </x:c>
      <x:c r="Q56" s="28" t="n">
        <x:f t="shared" si="9">(P56+H56)*A56</x:f>
        <x:v>0</x:v>
      </x:c>
      <x:c r="R56" s="28" t="n">
        <x:f t="shared" si="23"/>
        <x:v>468.89</x:v>
      </x:c>
      <x:c r="S56" s="28" t="n">
        <x:f t="shared" si="11"/>
        <x:v>140.67</x:v>
      </x:c>
      <x:c r="T56" s="28" t="n">
        <x:f t="shared" si="12">(S56+H56)*A56</x:f>
        <x:v>0</x:v>
      </x:c>
      <x:c r="U56" s="28" t="n">
        <x:f t="shared" si="13"/>
        <x:v>468.89</x:v>
      </x:c>
      <x:c r="V56" s="28" t="n">
        <x:f t="shared" si="14"/>
        <x:v>140.67</x:v>
      </x:c>
      <x:c r="W56" s="28" t="n">
        <x:f t="shared" si="15">(V56+H56)*A56</x:f>
        <x:v>0</x:v>
      </x:c>
      <x:c r="X56" s="28"/>
      <x:c r="Y56" s="28" t="n">
        <x:f t="shared" si="16"/>
        <x:v>0</x:v>
      </x:c>
      <x:c r="Z56" s="28" t="n">
        <x:f t="shared" si="17">(Y56+H56)*A56</x:f>
        <x:v>0</x:v>
      </x:c>
      <x:c r="AA56" s="28"/>
      <x:c r="AB56" s="28" t="n">
        <x:f t="shared" si="18"/>
        <x:v>0</x:v>
      </x:c>
      <x:c r="AC56" s="28" t="n">
        <x:f t="shared" si="19">(AB56+H56)*A56</x:f>
        <x:v>0</x:v>
      </x:c>
      <x:c r="AD56" s="28"/>
      <x:c r="AE56" s="28" t="n">
        <x:f t="shared" si="20"/>
        <x:v>0</x:v>
      </x:c>
      <x:c r="AF56" s="29" t="n">
        <x:f t="shared" si="21">(AE56+H56)*A56</x:f>
        <x:v>0</x:v>
      </x:c>
    </x:row>
    <x:row r="57" ht="15.75" customHeight="1">
      <x:c r="A57" s="26"/>
      <x:c r="B57" s="27" t="s">
        <x:v>120</x:v>
      </x:c>
      <x:c r="C57" s="27" t="s">
        <x:v>121</x:v>
      </x:c>
      <x:c r="D57" s="28"/>
      <x:c r="E57" s="28" t="n">
        <x:f t="shared" si="1"/>
        <x:v>0</x:v>
      </x:c>
      <x:c r="F57" s="28" t="n">
        <x:f t="shared" si="2">E57*A57</x:f>
        <x:v>0</x:v>
      </x:c>
      <x:c r="G57" s="28"/>
      <x:c r="H57" s="28" t="n">
        <x:f t="shared" si="3"/>
        <x:v>0</x:v>
      </x:c>
      <x:c r="I57" s="28"/>
      <x:c r="J57" s="28" t="n">
        <x:f t="shared" si="4"/>
        <x:v>0</x:v>
      </x:c>
      <x:c r="K57" s="28" t="n">
        <x:f t="shared" si="5">(J57+H57)*A57</x:f>
        <x:v>0</x:v>
      </x:c>
      <x:c r="L57" s="28"/>
      <x:c r="M57" s="28" t="n">
        <x:f t="shared" si="6"/>
        <x:v>0</x:v>
      </x:c>
      <x:c r="N57" s="28" t="n">
        <x:f t="shared" si="7">(M57+H57)*A57</x:f>
        <x:v>0</x:v>
      </x:c>
      <x:c r="O57" s="28"/>
      <x:c r="P57" s="28" t="n">
        <x:f t="shared" si="8"/>
        <x:v>0</x:v>
      </x:c>
      <x:c r="Q57" s="28" t="n">
        <x:f t="shared" si="9">(P57+H57)*A57</x:f>
        <x:v>0</x:v>
      </x:c>
      <x:c r="R57" s="28"/>
      <x:c r="S57" s="28" t="n">
        <x:f t="shared" si="11"/>
        <x:v>0</x:v>
      </x:c>
      <x:c r="T57" s="28" t="n">
        <x:f t="shared" si="12">(S57+H57)*A57</x:f>
        <x:v>0</x:v>
      </x:c>
      <x:c r="U57" s="28" t="str">
        <x:f t="shared" si="13"/>
      </x:c>
      <x:c r="V57" s="28" t="n">
        <x:f t="shared" si="14"/>
        <x:v>0</x:v>
      </x:c>
      <x:c r="W57" s="28" t="n">
        <x:f t="shared" si="15">(V57+H57)*A57</x:f>
        <x:v>0</x:v>
      </x:c>
      <x:c r="X57" s="28"/>
      <x:c r="Y57" s="28" t="n">
        <x:f t="shared" si="16"/>
        <x:v>0</x:v>
      </x:c>
      <x:c r="Z57" s="28" t="n">
        <x:f t="shared" si="17">(Y57+H57)*A57</x:f>
        <x:v>0</x:v>
      </x:c>
      <x:c r="AA57" s="28"/>
      <x:c r="AB57" s="28" t="n">
        <x:f t="shared" si="18"/>
        <x:v>0</x:v>
      </x:c>
      <x:c r="AC57" s="28" t="n">
        <x:f t="shared" si="19">(AB57+H57)*A57</x:f>
        <x:v>0</x:v>
      </x:c>
      <x:c r="AD57" s="28" t="n">
        <x:v>596.28</x:v>
      </x:c>
      <x:c r="AE57" s="28" t="n">
        <x:f t="shared" si="20"/>
        <x:v>178.88</x:v>
      </x:c>
      <x:c r="AF57" s="29" t="n">
        <x:f t="shared" si="21">(AE57+H57)*A57</x:f>
        <x:v>0</x:v>
      </x:c>
    </x:row>
    <x:row r="58" ht="15.75" customHeight="1">
      <x:c r="A58" s="26"/>
      <x:c r="B58" s="27" t="s">
        <x:v>122</x:v>
      </x:c>
      <x:c r="C58" s="27" t="s">
        <x:v>123</x:v>
      </x:c>
      <x:c r="D58" s="28"/>
      <x:c r="E58" s="28" t="n">
        <x:f t="shared" si="1"/>
        <x:v>0</x:v>
      </x:c>
      <x:c r="F58" s="28" t="n">
        <x:f t="shared" si="2">E58*A58</x:f>
        <x:v>0</x:v>
      </x:c>
      <x:c r="G58" s="28"/>
      <x:c r="H58" s="28" t="n">
        <x:f t="shared" si="3"/>
        <x:v>0</x:v>
      </x:c>
      <x:c r="I58" s="28"/>
      <x:c r="J58" s="28" t="n">
        <x:f t="shared" si="4"/>
        <x:v>0</x:v>
      </x:c>
      <x:c r="K58" s="28" t="n">
        <x:f t="shared" si="5">(J58+H58)*A58</x:f>
        <x:v>0</x:v>
      </x:c>
      <x:c r="L58" s="28"/>
      <x:c r="M58" s="28" t="n">
        <x:f t="shared" si="6"/>
        <x:v>0</x:v>
      </x:c>
      <x:c r="N58" s="28" t="n">
        <x:f t="shared" si="7">(M58+H58)*A58</x:f>
        <x:v>0</x:v>
      </x:c>
      <x:c r="O58" s="28"/>
      <x:c r="P58" s="28" t="n">
        <x:f t="shared" si="8"/>
        <x:v>0</x:v>
      </x:c>
      <x:c r="Q58" s="28" t="n">
        <x:f t="shared" si="9">(P58+H58)*A58</x:f>
        <x:v>0</x:v>
      </x:c>
      <x:c r="R58" s="28"/>
      <x:c r="S58" s="28" t="n">
        <x:f t="shared" si="11"/>
        <x:v>0</x:v>
      </x:c>
      <x:c r="T58" s="28" t="n">
        <x:f t="shared" si="12">(S58+H58)*A58</x:f>
        <x:v>0</x:v>
      </x:c>
      <x:c r="U58" s="28" t="str">
        <x:f t="shared" si="13"/>
      </x:c>
      <x:c r="V58" s="28" t="n">
        <x:f t="shared" si="14"/>
        <x:v>0</x:v>
      </x:c>
      <x:c r="W58" s="28" t="n">
        <x:f t="shared" si="15">(V58+H58)*A58</x:f>
        <x:v>0</x:v>
      </x:c>
      <x:c r="X58" s="28"/>
      <x:c r="Y58" s="28" t="n">
        <x:f t="shared" si="16"/>
        <x:v>0</x:v>
      </x:c>
      <x:c r="Z58" s="28" t="n">
        <x:f t="shared" si="17">(Y58+H58)*A58</x:f>
        <x:v>0</x:v>
      </x:c>
      <x:c r="AA58" s="28"/>
      <x:c r="AB58" s="28" t="n">
        <x:f t="shared" si="18"/>
        <x:v>0</x:v>
      </x:c>
      <x:c r="AC58" s="28" t="n">
        <x:f t="shared" si="19">(AB58+H58)*A58</x:f>
        <x:v>0</x:v>
      </x:c>
      <x:c r="AD58" s="28" t="n">
        <x:v>646.45</x:v>
      </x:c>
      <x:c r="AE58" s="28" t="n">
        <x:f t="shared" si="20"/>
        <x:v>193.94</x:v>
      </x:c>
      <x:c r="AF58" s="29" t="n">
        <x:f t="shared" si="21">(AE58+H58)*A58</x:f>
        <x:v>0</x:v>
      </x:c>
    </x:row>
    <x:row r="59" ht="15.75" customHeight="1">
      <x:c r="A59" s="26"/>
      <x:c r="B59" s="27" t="s">
        <x:v>124</x:v>
      </x:c>
      <x:c r="C59" s="27" t="s">
        <x:v>125</x:v>
      </x:c>
      <x:c r="D59" s="28"/>
      <x:c r="E59" s="28" t="n">
        <x:f t="shared" si="1"/>
        <x:v>0</x:v>
      </x:c>
      <x:c r="F59" s="28" t="n">
        <x:f t="shared" si="2">E59*A59</x:f>
        <x:v>0</x:v>
      </x:c>
      <x:c r="G59" s="28"/>
      <x:c r="H59" s="28" t="n">
        <x:f t="shared" si="3"/>
        <x:v>0</x:v>
      </x:c>
      <x:c r="I59" s="28"/>
      <x:c r="J59" s="28" t="n">
        <x:f t="shared" si="4"/>
        <x:v>0</x:v>
      </x:c>
      <x:c r="K59" s="28" t="n">
        <x:f t="shared" si="5">(J59+H59)*A59</x:f>
        <x:v>0</x:v>
      </x:c>
      <x:c r="L59" s="28"/>
      <x:c r="M59" s="28" t="n">
        <x:f t="shared" si="6"/>
        <x:v>0</x:v>
      </x:c>
      <x:c r="N59" s="28" t="n">
        <x:f t="shared" si="7">(M59+H59)*A59</x:f>
        <x:v>0</x:v>
      </x:c>
      <x:c r="O59" s="28"/>
      <x:c r="P59" s="28" t="n">
        <x:f t="shared" si="8"/>
        <x:v>0</x:v>
      </x:c>
      <x:c r="Q59" s="28" t="n">
        <x:f t="shared" si="9">(P59+H59)*A59</x:f>
        <x:v>0</x:v>
      </x:c>
      <x:c r="R59" s="28"/>
      <x:c r="S59" s="28" t="n">
        <x:f t="shared" si="11"/>
        <x:v>0</x:v>
      </x:c>
      <x:c r="T59" s="28" t="n">
        <x:f t="shared" si="12">(S59+H59)*A59</x:f>
        <x:v>0</x:v>
      </x:c>
      <x:c r="U59" s="28" t="str">
        <x:f t="shared" si="13"/>
      </x:c>
      <x:c r="V59" s="28" t="n">
        <x:f t="shared" si="14"/>
        <x:v>0</x:v>
      </x:c>
      <x:c r="W59" s="28" t="n">
        <x:f t="shared" si="15">(V59+H59)*A59</x:f>
        <x:v>0</x:v>
      </x:c>
      <x:c r="X59" s="28"/>
      <x:c r="Y59" s="28" t="n">
        <x:f t="shared" si="16"/>
        <x:v>0</x:v>
      </x:c>
      <x:c r="Z59" s="28" t="n">
        <x:f t="shared" si="17">(Y59+H59)*A59</x:f>
        <x:v>0</x:v>
      </x:c>
      <x:c r="AA59" s="28"/>
      <x:c r="AB59" s="28" t="n">
        <x:f t="shared" si="18"/>
        <x:v>0</x:v>
      </x:c>
      <x:c r="AC59" s="28" t="n">
        <x:f t="shared" si="19">(AB59+H59)*A59</x:f>
        <x:v>0</x:v>
      </x:c>
      <x:c r="AD59" s="28" t="n">
        <x:v>652.69</x:v>
      </x:c>
      <x:c r="AE59" s="28" t="n">
        <x:f t="shared" si="20"/>
        <x:v>195.81</x:v>
      </x:c>
      <x:c r="AF59" s="29" t="n">
        <x:f t="shared" si="21">(AE59+H59)*A59</x:f>
        <x:v>0</x:v>
      </x:c>
    </x:row>
    <x:row r="60" ht="15.75" customHeight="1">
      <x:c r="A60" s="26"/>
      <x:c r="B60" s="27" t="s">
        <x:v>126</x:v>
      </x:c>
      <x:c r="C60" s="27" t="s">
        <x:v>127</x:v>
      </x:c>
      <x:c r="D60" s="28" t="n">
        <x:v>994.26</x:v>
      </x:c>
      <x:c r="E60" s="28" t="n">
        <x:f t="shared" si="1"/>
        <x:v>298.28</x:v>
      </x:c>
      <x:c r="F60" s="28" t="n">
        <x:f t="shared" si="2">E60*A60</x:f>
        <x:v>0</x:v>
      </x:c>
      <x:c r="G60" s="28" t="n">
        <x:v>475.71</x:v>
      </x:c>
      <x:c r="H60" s="28" t="n">
        <x:f t="shared" si="3"/>
        <x:v>142.71</x:v>
      </x:c>
      <x:c r="I60" s="28" t="n">
        <x:v>567.8</x:v>
      </x:c>
      <x:c r="J60" s="28" t="n">
        <x:f t="shared" si="4"/>
        <x:v>170.34</x:v>
      </x:c>
      <x:c r="K60" s="28" t="n">
        <x:f t="shared" si="5">(J60+H60)*A60</x:f>
        <x:v>0</x:v>
      </x:c>
      <x:c r="L60" s="28" t="n">
        <x:v>527.89</x:v>
      </x:c>
      <x:c r="M60" s="28" t="n">
        <x:f t="shared" si="6"/>
        <x:v>137.25</x:v>
      </x:c>
      <x:c r="N60" s="28" t="n">
        <x:f t="shared" si="7">(M60+H60)*A60</x:f>
        <x:v>0</x:v>
      </x:c>
      <x:c r="O60" s="28" t="n">
        <x:v>498.44</x:v>
      </x:c>
      <x:c r="P60" s="28" t="n">
        <x:f t="shared" si="8"/>
        <x:v>149.53</x:v>
      </x:c>
      <x:c r="Q60" s="28" t="n">
        <x:f t="shared" si="9">(P60+H60)*A60</x:f>
        <x:v>0</x:v>
      </x:c>
      <x:c r="R60" s="28" t="n">
        <x:f t="shared" ref="R60:R100" si="24">L60</x:f>
        <x:v>527.89</x:v>
      </x:c>
      <x:c r="S60" s="28" t="n">
        <x:f t="shared" si="11"/>
        <x:v>158.37</x:v>
      </x:c>
      <x:c r="T60" s="28" t="n">
        <x:f t="shared" si="12">(S60+H60)*A60</x:f>
        <x:v>0</x:v>
      </x:c>
      <x:c r="U60" s="28" t="n">
        <x:f t="shared" si="13"/>
        <x:v>527.89</x:v>
      </x:c>
      <x:c r="V60" s="28" t="n">
        <x:f t="shared" si="14"/>
        <x:v>158.37</x:v>
      </x:c>
      <x:c r="W60" s="28" t="n">
        <x:f t="shared" si="15">(V60+H60)*A60</x:f>
        <x:v>0</x:v>
      </x:c>
      <x:c r="X60" s="28" t="n">
        <x:v>611.55</x:v>
      </x:c>
      <x:c r="Y60" s="28" t="n">
        <x:f t="shared" si="16"/>
        <x:v>183.46</x:v>
      </x:c>
      <x:c r="Z60" s="28" t="n">
        <x:f t="shared" si="17">(Y60+H60)*A60</x:f>
        <x:v>0</x:v>
      </x:c>
      <x:c r="AA60" s="28" t="n">
        <x:v>547.64</x:v>
      </x:c>
      <x:c r="AB60" s="28" t="n">
        <x:f t="shared" si="18"/>
        <x:v>164.29</x:v>
      </x:c>
      <x:c r="AC60" s="28" t="n">
        <x:f t="shared" si="19">(AB60+H60)*A60</x:f>
        <x:v>0</x:v>
      </x:c>
      <x:c r="AD60" s="28" t="n">
        <x:v>596.28</x:v>
      </x:c>
      <x:c r="AE60" s="28" t="n">
        <x:f t="shared" si="20"/>
        <x:v>178.88</x:v>
      </x:c>
      <x:c r="AF60" s="29" t="n">
        <x:f t="shared" si="21">(AE60+H60)*A60</x:f>
        <x:v>0</x:v>
      </x:c>
    </x:row>
    <x:row r="61" ht="15.75" customHeight="1">
      <x:c r="A61" s="26"/>
      <x:c r="B61" s="27" t="s">
        <x:v>128</x:v>
      </x:c>
      <x:c r="C61" s="27" t="s">
        <x:v>129</x:v>
      </x:c>
      <x:c r="D61" s="28" t="n">
        <x:v>1034.25</x:v>
      </x:c>
      <x:c r="E61" s="28" t="n">
        <x:f t="shared" si="1"/>
        <x:v>310.27</x:v>
      </x:c>
      <x:c r="F61" s="28" t="n">
        <x:f t="shared" si="2">E61*A61</x:f>
        <x:v>0</x:v>
      </x:c>
      <x:c r="G61" s="28" t="n">
        <x:v>483.06</x:v>
      </x:c>
      <x:c r="H61" s="28" t="n">
        <x:f t="shared" si="3"/>
        <x:v>144.92</x:v>
      </x:c>
      <x:c r="I61" s="28" t="n">
        <x:v>612.41</x:v>
      </x:c>
      <x:c r="J61" s="28" t="n">
        <x:f t="shared" si="4"/>
        <x:v>183.72</x:v>
      </x:c>
      <x:c r="K61" s="28" t="n">
        <x:f t="shared" si="5">(J61+H61)*A61</x:f>
        <x:v>0</x:v>
      </x:c>
      <x:c r="L61" s="28" t="n">
        <x:v>562.2</x:v>
      </x:c>
      <x:c r="M61" s="28" t="n">
        <x:f t="shared" si="6"/>
        <x:v>146.17</x:v>
      </x:c>
      <x:c r="N61" s="28" t="n">
        <x:f t="shared" si="7">(M61+H61)*A61</x:f>
        <x:v>0</x:v>
      </x:c>
      <x:c r="O61" s="28" t="n">
        <x:v>530.81</x:v>
      </x:c>
      <x:c r="P61" s="28" t="n">
        <x:f t="shared" si="8"/>
        <x:v>159.24</x:v>
      </x:c>
      <x:c r="Q61" s="28" t="n">
        <x:f t="shared" si="9">(P61+H61)*A61</x:f>
        <x:v>0</x:v>
      </x:c>
      <x:c r="R61" s="28" t="n">
        <x:f t="shared" si="24"/>
        <x:v>562.2</x:v>
      </x:c>
      <x:c r="S61" s="28" t="n">
        <x:f t="shared" si="11"/>
        <x:v>168.66</x:v>
      </x:c>
      <x:c r="T61" s="28" t="n">
        <x:f t="shared" si="12">(S61+H61)*A61</x:f>
        <x:v>0</x:v>
      </x:c>
      <x:c r="U61" s="28" t="n">
        <x:f t="shared" si="13"/>
        <x:v>562.2</x:v>
      </x:c>
      <x:c r="V61" s="28" t="n">
        <x:f t="shared" si="14"/>
        <x:v>168.66</x:v>
      </x:c>
      <x:c r="W61" s="28" t="n">
        <x:f t="shared" si="15">(V61+H61)*A61</x:f>
        <x:v>0</x:v>
      </x:c>
      <x:c r="X61" s="28" t="n">
        <x:v>652.3</x:v>
      </x:c>
      <x:c r="Y61" s="28" t="n">
        <x:f t="shared" si="16"/>
        <x:v>195.69</x:v>
      </x:c>
      <x:c r="Z61" s="28" t="n">
        <x:f t="shared" si="17">(Y61+H61)*A61</x:f>
        <x:v>0</x:v>
      </x:c>
      <x:c r="AA61" s="28" t="n">
        <x:v>581.93</x:v>
      </x:c>
      <x:c r="AB61" s="28" t="n">
        <x:f t="shared" si="18"/>
        <x:v>174.58</x:v>
      </x:c>
      <x:c r="AC61" s="28" t="n">
        <x:f t="shared" si="19">(AB61+H61)*A61</x:f>
        <x:v>0</x:v>
      </x:c>
      <x:c r="AD61" s="28" t="n">
        <x:v>646.45</x:v>
      </x:c>
      <x:c r="AE61" s="28" t="n">
        <x:f t="shared" si="20"/>
        <x:v>193.94</x:v>
      </x:c>
      <x:c r="AF61" s="29" t="n">
        <x:f t="shared" si="21">(AE61+H61)*A61</x:f>
        <x:v>0</x:v>
      </x:c>
    </x:row>
    <x:row r="62" ht="15.75" customHeight="1">
      <x:c r="A62" s="26"/>
      <x:c r="B62" s="27" t="s">
        <x:v>130</x:v>
      </x:c>
      <x:c r="C62" s="27" t="s">
        <x:v>131</x:v>
      </x:c>
      <x:c r="D62" s="28" t="n">
        <x:v>1076.33</x:v>
      </x:c>
      <x:c r="E62" s="28" t="n">
        <x:f t="shared" si="1"/>
        <x:v>322.9</x:v>
      </x:c>
      <x:c r="F62" s="28" t="n">
        <x:f t="shared" si="2">E62*A62</x:f>
        <x:v>0</x:v>
      </x:c>
      <x:c r="G62" s="28" t="n">
        <x:v>533.36</x:v>
      </x:c>
      <x:c r="H62" s="28" t="n">
        <x:f t="shared" si="3"/>
        <x:v>160.01</x:v>
      </x:c>
      <x:c r="I62" s="28" t="n">
        <x:v>620.9</x:v>
      </x:c>
      <x:c r="J62" s="28" t="n">
        <x:f t="shared" si="4"/>
        <x:v>186.27</x:v>
      </x:c>
      <x:c r="K62" s="28" t="n">
        <x:f t="shared" si="5">(J62+H62)*A62</x:f>
        <x:v>0</x:v>
      </x:c>
      <x:c r="L62" s="28" t="n">
        <x:v>554.22</x:v>
      </x:c>
      <x:c r="M62" s="28" t="n">
        <x:f t="shared" si="6"/>
        <x:v>144.1</x:v>
      </x:c>
      <x:c r="N62" s="28" t="n">
        <x:f t="shared" si="7">(M62+H62)*A62</x:f>
        <x:v>0</x:v>
      </x:c>
      <x:c r="O62" s="28" t="n">
        <x:v>523.32</x:v>
      </x:c>
      <x:c r="P62" s="28" t="n">
        <x:f t="shared" si="8"/>
        <x:v>157</x:v>
      </x:c>
      <x:c r="Q62" s="28" t="n">
        <x:f t="shared" si="9">(P62+H62)*A62</x:f>
        <x:v>0</x:v>
      </x:c>
      <x:c r="R62" s="28" t="n">
        <x:f t="shared" si="24"/>
        <x:v>554.22</x:v>
      </x:c>
      <x:c r="S62" s="28" t="n">
        <x:f t="shared" si="11"/>
        <x:v>166.27</x:v>
      </x:c>
      <x:c r="T62" s="28" t="n">
        <x:f t="shared" si="12">(S62+H62)*A62</x:f>
        <x:v>0</x:v>
      </x:c>
      <x:c r="U62" s="28" t="n">
        <x:f t="shared" si="13"/>
        <x:v>554.22</x:v>
      </x:c>
      <x:c r="V62" s="28" t="n">
        <x:f t="shared" si="14"/>
        <x:v>166.27</x:v>
      </x:c>
      <x:c r="W62" s="28" t="n">
        <x:f t="shared" si="15">(V62+H62)*A62</x:f>
        <x:v>0</x:v>
      </x:c>
      <x:c r="X62" s="28" t="n">
        <x:v>693.26</x:v>
      </x:c>
      <x:c r="Y62" s="28" t="n">
        <x:f t="shared" si="16"/>
        <x:v>207.98</x:v>
      </x:c>
      <x:c r="Z62" s="28" t="n">
        <x:f t="shared" si="17">(Y62+H62)*A62</x:f>
        <x:v>0</x:v>
      </x:c>
      <x:c r="AA62" s="28" t="n">
        <x:v>590.31</x:v>
      </x:c>
      <x:c r="AB62" s="28" t="n">
        <x:f t="shared" si="18"/>
        <x:v>177.09</x:v>
      </x:c>
      <x:c r="AC62" s="28" t="n">
        <x:f t="shared" si="19">(AB62+H62)*A62</x:f>
        <x:v>0</x:v>
      </x:c>
      <x:c r="AD62" s="28" t="n">
        <x:v>652.69</x:v>
      </x:c>
      <x:c r="AE62" s="28" t="n">
        <x:f t="shared" si="20"/>
        <x:v>195.81</x:v>
      </x:c>
      <x:c r="AF62" s="29" t="n">
        <x:f t="shared" si="21">(AE62+H62)*A62</x:f>
        <x:v>0</x:v>
      </x:c>
    </x:row>
    <x:row r="63" ht="15.75" customHeight="1">
      <x:c r="A63" s="26"/>
      <x:c r="B63" s="27" t="s">
        <x:v>132</x:v>
      </x:c>
      <x:c r="C63" s="27" t="s">
        <x:v>133</x:v>
      </x:c>
      <x:c r="D63" s="28" t="n">
        <x:v>1126.9</x:v>
      </x:c>
      <x:c r="E63" s="28" t="n">
        <x:f t="shared" si="1"/>
        <x:v>338.07</x:v>
      </x:c>
      <x:c r="F63" s="28" t="n">
        <x:f t="shared" si="2">E63*A63</x:f>
        <x:v>0</x:v>
      </x:c>
      <x:c r="G63" s="28" t="n">
        <x:v>590.45</x:v>
      </x:c>
      <x:c r="H63" s="28" t="n">
        <x:f t="shared" si="3"/>
        <x:v>177.14</x:v>
      </x:c>
      <x:c r="I63" s="28" t="n">
        <x:v>615.92</x:v>
      </x:c>
      <x:c r="J63" s="28" t="n">
        <x:f t="shared" si="4"/>
        <x:v>184.77</x:v>
      </x:c>
      <x:c r="K63" s="28" t="n">
        <x:f t="shared" si="5">(J63+H63)*A63</x:f>
        <x:v>0</x:v>
      </x:c>
      <x:c r="L63" s="28" t="n">
        <x:v>548.56</x:v>
      </x:c>
      <x:c r="M63" s="28" t="n">
        <x:f t="shared" si="6"/>
        <x:v>142.63</x:v>
      </x:c>
      <x:c r="N63" s="28" t="n">
        <x:f t="shared" si="7">(M63+H63)*A63</x:f>
        <x:v>0</x:v>
      </x:c>
      <x:c r="O63" s="28" t="n">
        <x:v>517.95</x:v>
      </x:c>
      <x:c r="P63" s="28" t="n">
        <x:f t="shared" si="8"/>
        <x:v>155.39</x:v>
      </x:c>
      <x:c r="Q63" s="28" t="n">
        <x:f t="shared" si="9">(P63+H63)*A63</x:f>
        <x:v>0</x:v>
      </x:c>
      <x:c r="R63" s="28" t="n">
        <x:f t="shared" si="24"/>
        <x:v>548.56</x:v>
      </x:c>
      <x:c r="S63" s="28" t="n">
        <x:f t="shared" si="11"/>
        <x:v>164.57</x:v>
      </x:c>
      <x:c r="T63" s="28" t="n">
        <x:f t="shared" si="12">(S63+H63)*A63</x:f>
        <x:v>0</x:v>
      </x:c>
      <x:c r="U63" s="28" t="n">
        <x:f t="shared" si="13"/>
        <x:v>548.56</x:v>
      </x:c>
      <x:c r="V63" s="28" t="n">
        <x:f t="shared" si="14"/>
        <x:v>164.57</x:v>
      </x:c>
      <x:c r="W63" s="28" t="n">
        <x:f t="shared" si="15">(V63+H63)*A63</x:f>
        <x:v>0</x:v>
      </x:c>
      <x:c r="X63" s="28" t="n">
        <x:v>858.47</x:v>
      </x:c>
      <x:c r="Y63" s="28" t="n">
        <x:f t="shared" si="16"/>
        <x:v>257.54</x:v>
      </x:c>
      <x:c r="Z63" s="28" t="n">
        <x:f t="shared" si="17">(Y63+H63)*A63</x:f>
        <x:v>0</x:v>
      </x:c>
      <x:c r="AA63" s="28" t="n">
        <x:v>575.98</x:v>
      </x:c>
      <x:c r="AB63" s="28" t="n">
        <x:f t="shared" si="18"/>
        <x:v>172.79</x:v>
      </x:c>
      <x:c r="AC63" s="28" t="n">
        <x:f t="shared" si="19">(AB63+H63)*A63</x:f>
        <x:v>0</x:v>
      </x:c>
      <x:c r="AD63" s="28" t="n">
        <x:v>650.67</x:v>
      </x:c>
      <x:c r="AE63" s="28" t="n">
        <x:f t="shared" si="20"/>
        <x:v>195.2</x:v>
      </x:c>
      <x:c r="AF63" s="29" t="n">
        <x:f t="shared" si="21">(AE63+H63)*A63</x:f>
        <x:v>0</x:v>
      </x:c>
    </x:row>
    <x:row r="64" ht="15.75" customHeight="1">
      <x:c r="A64" s="26"/>
      <x:c r="B64" s="27" t="s">
        <x:v>134</x:v>
      </x:c>
      <x:c r="C64" s="27" t="s">
        <x:v>135</x:v>
      </x:c>
      <x:c r="D64" s="28" t="n">
        <x:v>1171.3</x:v>
      </x:c>
      <x:c r="E64" s="28" t="n">
        <x:f t="shared" si="1"/>
        <x:v>351.39</x:v>
      </x:c>
      <x:c r="F64" s="28" t="n">
        <x:f t="shared" si="2">E64*A64</x:f>
        <x:v>0</x:v>
      </x:c>
      <x:c r="G64" s="28" t="n">
        <x:v>613.29</x:v>
      </x:c>
      <x:c r="H64" s="28" t="n">
        <x:f t="shared" si="3"/>
        <x:v>183.99</x:v>
      </x:c>
      <x:c r="I64" s="28" t="n">
        <x:v>639.84</x:v>
      </x:c>
      <x:c r="J64" s="28" t="n">
        <x:f t="shared" si="4"/>
        <x:v>191.95</x:v>
      </x:c>
      <x:c r="K64" s="28" t="n">
        <x:f t="shared" si="5">(J64+H64)*A64</x:f>
        <x:v>0</x:v>
      </x:c>
      <x:c r="L64" s="28" t="n">
        <x:v>570.47</x:v>
      </x:c>
      <x:c r="M64" s="28" t="n">
        <x:f t="shared" si="6"/>
        <x:v>148.32</x:v>
      </x:c>
      <x:c r="N64" s="28" t="n">
        <x:f t="shared" si="7">(M64+H64)*A64</x:f>
        <x:v>0</x:v>
      </x:c>
      <x:c r="O64" s="28" t="n">
        <x:v>538.63</x:v>
      </x:c>
      <x:c r="P64" s="28" t="n">
        <x:f t="shared" si="8"/>
        <x:v>161.59</x:v>
      </x:c>
      <x:c r="Q64" s="28" t="n">
        <x:f t="shared" si="9">(P64+H64)*A64</x:f>
        <x:v>0</x:v>
      </x:c>
      <x:c r="R64" s="28" t="n">
        <x:f t="shared" si="24"/>
        <x:v>570.47</x:v>
      </x:c>
      <x:c r="S64" s="28" t="n">
        <x:f t="shared" si="11"/>
        <x:v>171.14</x:v>
      </x:c>
      <x:c r="T64" s="28" t="n">
        <x:f t="shared" si="12">(S64+H64)*A64</x:f>
        <x:v>0</x:v>
      </x:c>
      <x:c r="U64" s="28" t="n">
        <x:f t="shared" si="13"/>
        <x:v>570.47</x:v>
      </x:c>
      <x:c r="V64" s="28" t="n">
        <x:f t="shared" si="14"/>
        <x:v>171.14</x:v>
      </x:c>
      <x:c r="W64" s="28" t="n">
        <x:f t="shared" si="15">(V64+H64)*A64</x:f>
        <x:v>0</x:v>
      </x:c>
      <x:c r="X64" s="28" t="n">
        <x:v>916.63</x:v>
      </x:c>
      <x:c r="Y64" s="28" t="n">
        <x:f t="shared" si="16"/>
        <x:v>274.99</x:v>
      </x:c>
      <x:c r="Z64" s="28" t="n">
        <x:f t="shared" si="17">(Y64+H64)*A64</x:f>
        <x:v>0</x:v>
      </x:c>
      <x:c r="AA64" s="28" t="n">
        <x:v>599</x:v>
      </x:c>
      <x:c r="AB64" s="28" t="n">
        <x:f t="shared" si="18"/>
        <x:v>179.7</x:v>
      </x:c>
      <x:c r="AC64" s="28" t="n">
        <x:f t="shared" si="19">(AB64+H64)*A64</x:f>
        <x:v>0</x:v>
      </x:c>
      <x:c r="AD64" s="28" t="n">
        <x:v>675.39</x:v>
      </x:c>
      <x:c r="AE64" s="28" t="n">
        <x:f t="shared" si="20"/>
        <x:v>202.62</x:v>
      </x:c>
      <x:c r="AF64" s="29" t="n">
        <x:f t="shared" si="21">(AE64+H64)*A64</x:f>
        <x:v>0</x:v>
      </x:c>
    </x:row>
    <x:row r="65" ht="15.75" customHeight="1">
      <x:c r="A65" s="26"/>
      <x:c r="B65" s="27" t="s">
        <x:v>136</x:v>
      </x:c>
      <x:c r="C65" s="27" t="s">
        <x:v>137</x:v>
      </x:c>
      <x:c r="D65" s="28" t="n">
        <x:v>1229.45</x:v>
      </x:c>
      <x:c r="E65" s="28" t="n">
        <x:f t="shared" si="1"/>
        <x:v>368.83</x:v>
      </x:c>
      <x:c r="F65" s="28" t="n">
        <x:f t="shared" si="2">E65*A65</x:f>
        <x:v>0</x:v>
      </x:c>
      <x:c r="G65" s="28" t="n">
        <x:v>643.41</x:v>
      </x:c>
      <x:c r="H65" s="28" t="n">
        <x:f t="shared" si="3"/>
        <x:v>193.02</x:v>
      </x:c>
      <x:c r="I65" s="28" t="n">
        <x:v>671.89</x:v>
      </x:c>
      <x:c r="J65" s="28" t="n">
        <x:f t="shared" si="4"/>
        <x:v>201.57</x:v>
      </x:c>
      <x:c r="K65" s="28" t="n">
        <x:f t="shared" si="5">(J65+H65)*A65</x:f>
        <x:v>0</x:v>
      </x:c>
      <x:c r="L65" s="28" t="n">
        <x:v>597.71</x:v>
      </x:c>
      <x:c r="M65" s="28" t="n">
        <x:f t="shared" si="6"/>
        <x:v>155.4</x:v>
      </x:c>
      <x:c r="N65" s="28" t="n">
        <x:f t="shared" si="7">(M65+H65)*A65</x:f>
        <x:v>0</x:v>
      </x:c>
      <x:c r="O65" s="28" t="n">
        <x:v>564.36</x:v>
      </x:c>
      <x:c r="P65" s="28" t="n">
        <x:f t="shared" si="8"/>
        <x:v>169.31</x:v>
      </x:c>
      <x:c r="Q65" s="28" t="n">
        <x:f t="shared" si="9">(P65+H65)*A65</x:f>
        <x:v>0</x:v>
      </x:c>
      <x:c r="R65" s="28" t="n">
        <x:f t="shared" si="24"/>
        <x:v>597.71</x:v>
      </x:c>
      <x:c r="S65" s="28" t="n">
        <x:f t="shared" si="11"/>
        <x:v>179.31</x:v>
      </x:c>
      <x:c r="T65" s="28" t="n">
        <x:f t="shared" si="12">(S65+H65)*A65</x:f>
        <x:v>0</x:v>
      </x:c>
      <x:c r="U65" s="28" t="n">
        <x:f t="shared" si="13"/>
        <x:v>597.71</x:v>
      </x:c>
      <x:c r="V65" s="28" t="n">
        <x:f t="shared" si="14"/>
        <x:v>179.31</x:v>
      </x:c>
      <x:c r="W65" s="28" t="n">
        <x:f t="shared" si="15">(V65+H65)*A65</x:f>
        <x:v>0</x:v>
      </x:c>
      <x:c r="X65" s="28" t="n">
        <x:v>975.11</x:v>
      </x:c>
      <x:c r="Y65" s="28" t="n">
        <x:f t="shared" si="16"/>
        <x:v>292.53</x:v>
      </x:c>
      <x:c r="Z65" s="28" t="n">
        <x:f t="shared" si="17">(Y65+H65)*A65</x:f>
        <x:v>0</x:v>
      </x:c>
      <x:c r="AA65" s="28" t="n">
        <x:v>627.6</x:v>
      </x:c>
      <x:c r="AB65" s="28" t="n">
        <x:f t="shared" si="18"/>
        <x:v>188.28</x:v>
      </x:c>
      <x:c r="AC65" s="28" t="n">
        <x:f t="shared" si="19">(AB65+H65)*A65</x:f>
        <x:v>0</x:v>
      </x:c>
      <x:c r="AD65" s="28" t="n">
        <x:v>712.29</x:v>
      </x:c>
      <x:c r="AE65" s="28" t="n">
        <x:f t="shared" si="20"/>
        <x:v>213.69</x:v>
      </x:c>
      <x:c r="AF65" s="29" t="n">
        <x:f t="shared" si="21">(AE65+H65)*A65</x:f>
        <x:v>0</x:v>
      </x:c>
    </x:row>
    <x:row r="66" ht="15.75" customHeight="1">
      <x:c r="A66" s="26"/>
      <x:c r="B66" s="27" t="s">
        <x:v>138</x:v>
      </x:c>
      <x:c r="C66" s="27" t="s">
        <x:v>139</x:v>
      </x:c>
      <x:c r="D66" s="28" t="n">
        <x:v>1280.09</x:v>
      </x:c>
      <x:c r="E66" s="28" t="n">
        <x:f t="shared" si="1"/>
        <x:v>384.03</x:v>
      </x:c>
      <x:c r="F66" s="28" t="n">
        <x:f t="shared" si="2">E66*A66</x:f>
        <x:v>0</x:v>
      </x:c>
      <x:c r="G66" s="28" t="n">
        <x:v>619.91</x:v>
      </x:c>
      <x:c r="H66" s="28" t="n">
        <x:f t="shared" si="3"/>
        <x:v>185.97</x:v>
      </x:c>
      <x:c r="I66" s="28" t="n">
        <x:v>749.54</x:v>
      </x:c>
      <x:c r="J66" s="28" t="n">
        <x:f t="shared" si="4"/>
        <x:v>224.86</x:v>
      </x:c>
      <x:c r="K66" s="28" t="n">
        <x:f t="shared" si="5">(J66+H66)*A66</x:f>
        <x:v>0</x:v>
      </x:c>
      <x:c r="L66" s="28" t="n">
        <x:v>673.33</x:v>
      </x:c>
      <x:c r="M66" s="28" t="n">
        <x:f t="shared" si="6"/>
        <x:v>175.07</x:v>
      </x:c>
      <x:c r="N66" s="28" t="n">
        <x:f t="shared" si="7">(M66+H66)*A66</x:f>
        <x:v>0</x:v>
      </x:c>
      <x:c r="O66" s="28" t="n">
        <x:v>635.78</x:v>
      </x:c>
      <x:c r="P66" s="28" t="n">
        <x:f t="shared" si="8"/>
        <x:v>190.73</x:v>
      </x:c>
      <x:c r="Q66" s="28" t="n">
        <x:f t="shared" si="9">(P66+H66)*A66</x:f>
        <x:v>0</x:v>
      </x:c>
      <x:c r="R66" s="28" t="n">
        <x:f t="shared" si="24"/>
        <x:v>673.33</x:v>
      </x:c>
      <x:c r="S66" s="28" t="n">
        <x:f t="shared" si="11"/>
        <x:v>202</x:v>
      </x:c>
      <x:c r="T66" s="28" t="n">
        <x:f t="shared" si="12">(S66+H66)*A66</x:f>
        <x:v>0</x:v>
      </x:c>
      <x:c r="U66" s="28" t="n">
        <x:f t="shared" si="13"/>
        <x:v>673.33</x:v>
      </x:c>
      <x:c r="V66" s="28" t="n">
        <x:f t="shared" si="14"/>
        <x:v>202</x:v>
      </x:c>
      <x:c r="W66" s="28" t="n">
        <x:f t="shared" si="15">(V66+H66)*A66</x:f>
        <x:v>0</x:v>
      </x:c>
      <x:c r="X66" s="28" t="n">
        <x:v>992.87</x:v>
      </x:c>
      <x:c r="Y66" s="28" t="n">
        <x:f t="shared" si="16"/>
        <x:v>297.86</x:v>
      </x:c>
      <x:c r="Z66" s="28" t="n">
        <x:f t="shared" si="17">(Y66+H66)*A66</x:f>
        <x:v>0</x:v>
      </x:c>
      <x:c r="AA66" s="28" t="n">
        <x:v>707</x:v>
      </x:c>
      <x:c r="AB66" s="28" t="n">
        <x:f t="shared" si="18"/>
        <x:v>212.1</x:v>
      </x:c>
      <x:c r="AC66" s="28" t="n">
        <x:f t="shared" si="19">(AB66+H66)*A66</x:f>
        <x:v>0</x:v>
      </x:c>
      <x:c r="AD66" s="28" t="n">
        <x:v>789.45</x:v>
      </x:c>
      <x:c r="AE66" s="28" t="n">
        <x:f t="shared" si="20"/>
        <x:v>236.83</x:v>
      </x:c>
      <x:c r="AF66" s="29" t="n">
        <x:f t="shared" si="21">(AE66+H66)*A66</x:f>
        <x:v>0</x:v>
      </x:c>
    </x:row>
    <x:row r="67" ht="15.75" customHeight="1">
      <x:c r="A67" s="26"/>
      <x:c r="B67" s="27" t="s">
        <x:v>140</x:v>
      </x:c>
      <x:c r="C67" s="27" t="s">
        <x:v>141</x:v>
      </x:c>
      <x:c r="D67" s="28" t="n">
        <x:v>1318.88</x:v>
      </x:c>
      <x:c r="E67" s="28" t="n">
        <x:f t="shared" si="1"/>
        <x:v>395.66</x:v>
      </x:c>
      <x:c r="F67" s="28" t="n">
        <x:f t="shared" si="2">E67*A67</x:f>
        <x:v>0</x:v>
      </x:c>
      <x:c r="G67" s="28" t="n">
        <x:v>637.83</x:v>
      </x:c>
      <x:c r="H67" s="28" t="n">
        <x:f t="shared" si="3"/>
        <x:v>191.35</x:v>
      </x:c>
      <x:c r="I67" s="28" t="n">
        <x:v>773.38</x:v>
      </x:c>
      <x:c r="J67" s="28" t="n">
        <x:f t="shared" si="4"/>
        <x:v>232.01</x:v>
      </x:c>
      <x:c r="K67" s="28" t="n">
        <x:f t="shared" si="5">(J67+H67)*A67</x:f>
        <x:v>0</x:v>
      </x:c>
      <x:c r="L67" s="28" t="n">
        <x:v>694.88</x:v>
      </x:c>
      <x:c r="M67" s="28" t="n">
        <x:f t="shared" si="6"/>
        <x:v>180.67</x:v>
      </x:c>
      <x:c r="N67" s="28" t="n">
        <x:f t="shared" si="7">(M67+H67)*A67</x:f>
        <x:v>0</x:v>
      </x:c>
      <x:c r="O67" s="28" t="n">
        <x:v>656.1</x:v>
      </x:c>
      <x:c r="P67" s="28" t="n">
        <x:f t="shared" si="8"/>
        <x:v>196.83</x:v>
      </x:c>
      <x:c r="Q67" s="28" t="n">
        <x:f t="shared" si="9">(P67+H67)*A67</x:f>
        <x:v>0</x:v>
      </x:c>
      <x:c r="R67" s="28" t="n">
        <x:f t="shared" si="24"/>
        <x:v>694.88</x:v>
      </x:c>
      <x:c r="S67" s="28" t="n">
        <x:f t="shared" si="11"/>
        <x:v>208.46</x:v>
      </x:c>
      <x:c r="T67" s="28" t="n">
        <x:f t="shared" si="12">(S67+H67)*A67</x:f>
        <x:v>0</x:v>
      </x:c>
      <x:c r="U67" s="28" t="n">
        <x:f t="shared" si="13"/>
        <x:v>694.88</x:v>
      </x:c>
      <x:c r="V67" s="28" t="n">
        <x:f t="shared" si="14"/>
        <x:v>208.46</x:v>
      </x:c>
      <x:c r="W67" s="28" t="n">
        <x:f t="shared" si="15">(V67+H67)*A67</x:f>
        <x:v>0</x:v>
      </x:c>
      <x:c r="X67" s="28" t="n">
        <x:v>1058.91</x:v>
      </x:c>
      <x:c r="Y67" s="28" t="n">
        <x:f t="shared" si="16"/>
        <x:v>317.67</x:v>
      </x:c>
      <x:c r="Z67" s="28" t="n">
        <x:f t="shared" si="17">(Y67+H67)*A67</x:f>
        <x:v>0</x:v>
      </x:c>
      <x:c r="AA67" s="28" t="n">
        <x:v>729.62</x:v>
      </x:c>
      <x:c r="AB67" s="28" t="n">
        <x:f t="shared" si="18"/>
        <x:v>218.89</x:v>
      </x:c>
      <x:c r="AC67" s="28" t="n">
        <x:f t="shared" si="19">(AB67+H67)*A67</x:f>
        <x:v>0</x:v>
      </x:c>
      <x:c r="AD67" s="28" t="n">
        <x:v>813.37</x:v>
      </x:c>
      <x:c r="AE67" s="28" t="n">
        <x:f t="shared" si="20"/>
        <x:v>244.01</x:v>
      </x:c>
      <x:c r="AF67" s="29" t="n">
        <x:f t="shared" si="21">(AE67+H67)*A67</x:f>
        <x:v>0</x:v>
      </x:c>
    </x:row>
    <x:row r="68" ht="15.75" customHeight="1">
      <x:c r="A68" s="26"/>
      <x:c r="B68" s="27" t="s">
        <x:v>142</x:v>
      </x:c>
      <x:c r="C68" s="27" t="s">
        <x:v>143</x:v>
      </x:c>
      <x:c r="D68" s="28" t="n">
        <x:v>1377.38</x:v>
      </x:c>
      <x:c r="E68" s="28" t="n">
        <x:f t="shared" si="1"/>
        <x:v>413.21</x:v>
      </x:c>
      <x:c r="F68" s="28" t="n">
        <x:f t="shared" si="2">E68*A68</x:f>
        <x:v>0</x:v>
      </x:c>
      <x:c r="G68" s="28" t="n">
        <x:v>675.58</x:v>
      </x:c>
      <x:c r="H68" s="28" t="n">
        <x:f t="shared" si="3"/>
        <x:v>202.67</x:v>
      </x:c>
      <x:c r="I68" s="28" t="n">
        <x:v>798.43</x:v>
      </x:c>
      <x:c r="J68" s="28" t="n">
        <x:f t="shared" si="4"/>
        <x:v>239.53</x:v>
      </x:c>
      <x:c r="K68" s="28" t="n">
        <x:f t="shared" si="5">(J68+H68)*A68</x:f>
        <x:v>0</x:v>
      </x:c>
      <x:c r="L68" s="28" t="n">
        <x:v>716.15</x:v>
      </x:c>
      <x:c r="M68" s="28" t="n">
        <x:f t="shared" si="6"/>
        <x:v>186.2</x:v>
      </x:c>
      <x:c r="N68" s="28" t="n">
        <x:f t="shared" si="7">(M68+H68)*A68</x:f>
        <x:v>0</x:v>
      </x:c>
      <x:c r="O68" s="28" t="n">
        <x:v>676.18</x:v>
      </x:c>
      <x:c r="P68" s="28" t="n">
        <x:f t="shared" si="8"/>
        <x:v>202.85</x:v>
      </x:c>
      <x:c r="Q68" s="28" t="n">
        <x:f t="shared" si="9">(P68+H68)*A68</x:f>
        <x:v>0</x:v>
      </x:c>
      <x:c r="R68" s="28" t="n">
        <x:f t="shared" si="24"/>
        <x:v>716.15</x:v>
      </x:c>
      <x:c r="S68" s="28" t="n">
        <x:f t="shared" si="11"/>
        <x:v>214.85</x:v>
      </x:c>
      <x:c r="T68" s="28" t="n">
        <x:f t="shared" si="12">(S68+H68)*A68</x:f>
        <x:v>0</x:v>
      </x:c>
      <x:c r="U68" s="28" t="n">
        <x:f t="shared" si="13"/>
        <x:v>716.15</x:v>
      </x:c>
      <x:c r="V68" s="28" t="n">
        <x:f t="shared" si="14"/>
        <x:v>214.85</x:v>
      </x:c>
      <x:c r="W68" s="28" t="n">
        <x:f t="shared" si="15">(V68+H68)*A68</x:f>
        <x:v>0</x:v>
      </x:c>
      <x:c r="X68" s="28" t="n">
        <x:v>1125.32</x:v>
      </x:c>
      <x:c r="Y68" s="28" t="n">
        <x:f t="shared" si="16"/>
        <x:v>337.6</x:v>
      </x:c>
      <x:c r="Z68" s="28" t="n">
        <x:f t="shared" si="17">(Y68+H68)*A68</x:f>
        <x:v>0</x:v>
      </x:c>
      <x:c r="AA68" s="28" t="n">
        <x:v>751.96</x:v>
      </x:c>
      <x:c r="AB68" s="28" t="n">
        <x:f t="shared" si="18"/>
        <x:v>225.59</x:v>
      </x:c>
      <x:c r="AC68" s="28" t="n">
        <x:f t="shared" si="19">(AB68+H68)*A68</x:f>
        <x:v>0</x:v>
      </x:c>
      <x:c r="AD68" s="28" t="n">
        <x:v>839.24</x:v>
      </x:c>
      <x:c r="AE68" s="28" t="n">
        <x:f t="shared" si="20"/>
        <x:v>251.77</x:v>
      </x:c>
      <x:c r="AF68" s="29" t="n">
        <x:f t="shared" si="21">(AE68+H68)*A68</x:f>
        <x:v>0</x:v>
      </x:c>
    </x:row>
    <x:row r="69" ht="15.75" customHeight="1">
      <x:c r="A69" s="26"/>
      <x:c r="B69" s="27" t="s">
        <x:v>144</x:v>
      </x:c>
      <x:c r="C69" s="27" t="s">
        <x:v>145</x:v>
      </x:c>
      <x:c r="D69" s="28" t="n">
        <x:v>1408.03</x:v>
      </x:c>
      <x:c r="E69" s="28" t="n">
        <x:f t="shared" si="1"/>
        <x:v>422.41</x:v>
      </x:c>
      <x:c r="F69" s="28" t="n">
        <x:f t="shared" si="2">E69*A69</x:f>
        <x:v>0</x:v>
      </x:c>
      <x:c r="G69" s="28" t="n">
        <x:v>635.63</x:v>
      </x:c>
      <x:c r="H69" s="28" t="n">
        <x:f t="shared" si="3"/>
        <x:v>190.69</x:v>
      </x:c>
      <x:c r="I69" s="28" t="n">
        <x:v>870.96</x:v>
      </x:c>
      <x:c r="J69" s="28" t="n">
        <x:f t="shared" si="4"/>
        <x:v>261.29</x:v>
      </x:c>
      <x:c r="K69" s="28" t="n">
        <x:f t="shared" si="5">(J69+H69)*A69</x:f>
        <x:v>0</x:v>
      </x:c>
      <x:c r="L69" s="28" t="n">
        <x:v>786.78</x:v>
      </x:c>
      <x:c r="M69" s="28" t="n">
        <x:f t="shared" si="6"/>
        <x:v>204.56</x:v>
      </x:c>
      <x:c r="N69" s="28" t="n">
        <x:f t="shared" si="7">(M69+H69)*A69</x:f>
        <x:v>0</x:v>
      </x:c>
      <x:c r="O69" s="28" t="n">
        <x:v>742.91</x:v>
      </x:c>
      <x:c r="P69" s="28" t="n">
        <x:f t="shared" si="8"/>
        <x:v>222.87</x:v>
      </x:c>
      <x:c r="Q69" s="28" t="n">
        <x:f t="shared" si="9">(P69+H69)*A69</x:f>
        <x:v>0</x:v>
      </x:c>
      <x:c r="R69" s="28" t="n">
        <x:f t="shared" si="24"/>
        <x:v>786.78</x:v>
      </x:c>
      <x:c r="S69" s="28" t="n">
        <x:f t="shared" si="11"/>
        <x:v>236.04</x:v>
      </x:c>
      <x:c r="T69" s="28" t="n">
        <x:f t="shared" si="12">(S69+H69)*A69</x:f>
        <x:v>0</x:v>
      </x:c>
      <x:c r="U69" s="28" t="n">
        <x:f t="shared" si="13"/>
        <x:v>786.78</x:v>
      </x:c>
      <x:c r="V69" s="28" t="n">
        <x:f t="shared" si="14"/>
        <x:v>236.04</x:v>
      </x:c>
      <x:c r="W69" s="28" t="n">
        <x:f t="shared" si="15">(V69+H69)*A69</x:f>
        <x:v>0</x:v>
      </x:c>
      <x:c r="X69" s="28"/>
      <x:c r="Y69" s="28" t="n">
        <x:f t="shared" si="16"/>
        <x:v>0</x:v>
      </x:c>
      <x:c r="Z69" s="28" t="n">
        <x:f t="shared" si="17">(Y69+H69)*A69</x:f>
        <x:v>0</x:v>
      </x:c>
      <x:c r="AA69" s="28" t="n">
        <x:v>825.36</x:v>
      </x:c>
      <x:c r="AB69" s="28" t="n">
        <x:f t="shared" si="18"/>
        <x:v>247.61</x:v>
      </x:c>
      <x:c r="AC69" s="28" t="n">
        <x:f t="shared" si="19">(AB69+H69)*A69</x:f>
        <x:v>0</x:v>
      </x:c>
      <x:c r="AD69" s="28" t="n">
        <x:v>913.46</x:v>
      </x:c>
      <x:c r="AE69" s="28" t="n">
        <x:f t="shared" si="20"/>
        <x:v>274.04</x:v>
      </x:c>
      <x:c r="AF69" s="29" t="n">
        <x:f t="shared" si="21">(AE69+H69)*A69</x:f>
        <x:v>0</x:v>
      </x:c>
    </x:row>
    <x:row r="70" ht="15.75" customHeight="1">
      <x:c r="A70" s="26"/>
      <x:c r="B70" s="27" t="s">
        <x:v>146</x:v>
      </x:c>
      <x:c r="C70" s="27" t="s">
        <x:v>147</x:v>
      </x:c>
      <x:c r="D70" s="28" t="n">
        <x:v>1450.82</x:v>
      </x:c>
      <x:c r="E70" s="28" t="n">
        <x:f t="shared" si="1"/>
        <x:v>435.25</x:v>
      </x:c>
      <x:c r="F70" s="28" t="n">
        <x:f t="shared" si="2">E70*A70</x:f>
        <x:v>0</x:v>
      </x:c>
      <x:c r="G70" s="28" t="n">
        <x:v>669.72</x:v>
      </x:c>
      <x:c r="H70" s="28" t="n">
        <x:f t="shared" si="3"/>
        <x:v>200.92</x:v>
      </x:c>
      <x:c r="I70" s="28" t="n">
        <x:v>884.35</x:v>
      </x:c>
      <x:c r="J70" s="28" t="n">
        <x:f t="shared" si="4"/>
        <x:v>265.3</x:v>
      </x:c>
      <x:c r="K70" s="28" t="n">
        <x:f t="shared" si="5">(J70+H70)*A70</x:f>
        <x:v>0</x:v>
      </x:c>
      <x:c r="L70" s="28" t="n">
        <x:v>795.76</x:v>
      </x:c>
      <x:c r="M70" s="28" t="n">
        <x:f t="shared" si="6"/>
        <x:v>206.9</x:v>
      </x:c>
      <x:c r="N70" s="28" t="n">
        <x:f t="shared" si="7">(M70+H70)*A70</x:f>
        <x:v>0</x:v>
      </x:c>
      <x:c r="O70" s="28" t="n">
        <x:v>751.38</x:v>
      </x:c>
      <x:c r="P70" s="28" t="n">
        <x:f t="shared" si="8"/>
        <x:v>225.41</x:v>
      </x:c>
      <x:c r="Q70" s="28" t="n">
        <x:f t="shared" si="9">(P70+H70)*A70</x:f>
        <x:v>0</x:v>
      </x:c>
      <x:c r="R70" s="28" t="n">
        <x:f t="shared" si="24"/>
        <x:v>795.76</x:v>
      </x:c>
      <x:c r="S70" s="28" t="n">
        <x:f t="shared" si="11"/>
        <x:v>238.73</x:v>
      </x:c>
      <x:c r="T70" s="28" t="n">
        <x:f t="shared" si="12">(S70+H70)*A70</x:f>
        <x:v>0</x:v>
      </x:c>
      <x:c r="U70" s="28" t="n">
        <x:f t="shared" si="13"/>
        <x:v>795.76</x:v>
      </x:c>
      <x:c r="V70" s="28" t="n">
        <x:f t="shared" si="14"/>
        <x:v>238.73</x:v>
      </x:c>
      <x:c r="W70" s="28" t="n">
        <x:f t="shared" si="15">(V70+H70)*A70</x:f>
        <x:v>0</x:v>
      </x:c>
      <x:c r="X70" s="28"/>
      <x:c r="Y70" s="28" t="n">
        <x:f t="shared" si="16"/>
        <x:v>0</x:v>
      </x:c>
      <x:c r="Z70" s="28" t="n">
        <x:f t="shared" si="17">(Y70+H70)*A70</x:f>
        <x:v>0</x:v>
      </x:c>
      <x:c r="AA70" s="28" t="n">
        <x:v>834.79</x:v>
      </x:c>
      <x:c r="AB70" s="28" t="n">
        <x:f t="shared" si="18"/>
        <x:v>250.44</x:v>
      </x:c>
      <x:c r="AC70" s="28" t="n">
        <x:f t="shared" si="19">(AB70+H70)*A70</x:f>
        <x:v>0</x:v>
      </x:c>
      <x:c r="AD70" s="28" t="n">
        <x:v>926.93</x:v>
      </x:c>
      <x:c r="AE70" s="28" t="n">
        <x:f t="shared" si="20"/>
        <x:v>278.08</x:v>
      </x:c>
      <x:c r="AF70" s="29" t="n">
        <x:f t="shared" si="21">(AE70+H70)*A70</x:f>
        <x:v>0</x:v>
      </x:c>
    </x:row>
    <x:row r="71" ht="15.75" customHeight="1">
      <x:c r="A71" s="26"/>
      <x:c r="B71" s="27" t="s">
        <x:v>148</x:v>
      </x:c>
      <x:c r="C71" s="27" t="s">
        <x:v>149</x:v>
      </x:c>
      <x:c r="D71" s="28" t="n">
        <x:v>1515.14</x:v>
      </x:c>
      <x:c r="E71" s="28" t="n">
        <x:f t="shared" si="1"/>
        <x:v>454.54</x:v>
      </x:c>
      <x:c r="F71" s="28" t="n">
        <x:f t="shared" si="2">E71*A71</x:f>
        <x:v>0</x:v>
      </x:c>
      <x:c r="G71" s="28" t="n">
        <x:v>702.61</x:v>
      </x:c>
      <x:c r="H71" s="28" t="n">
        <x:f t="shared" si="3"/>
        <x:v>210.78</x:v>
      </x:c>
      <x:c r="I71" s="28" t="n">
        <x:v>919.21</x:v>
      </x:c>
      <x:c r="J71" s="28" t="n">
        <x:f t="shared" si="4"/>
        <x:v>275.76</x:v>
      </x:c>
      <x:c r="K71" s="28" t="n">
        <x:f t="shared" si="5">(J71+H71)*A71</x:f>
        <x:v>0</x:v>
      </x:c>
      <x:c r="L71" s="28" t="n">
        <x:v>828.02</x:v>
      </x:c>
      <x:c r="M71" s="28" t="n">
        <x:f t="shared" si="6"/>
        <x:v>215.29</x:v>
      </x:c>
      <x:c r="N71" s="28" t="n">
        <x:f t="shared" si="7">(M71+H71)*A71</x:f>
        <x:v>0</x:v>
      </x:c>
      <x:c r="O71" s="28" t="n">
        <x:v>781.85</x:v>
      </x:c>
      <x:c r="P71" s="28" t="n">
        <x:f t="shared" si="8"/>
        <x:v>234.56</x:v>
      </x:c>
      <x:c r="Q71" s="28" t="n">
        <x:f t="shared" si="9">(P71+H71)*A71</x:f>
        <x:v>0</x:v>
      </x:c>
      <x:c r="R71" s="28" t="n">
        <x:f t="shared" si="24"/>
        <x:v>828.02</x:v>
      </x:c>
      <x:c r="S71" s="28" t="n">
        <x:f t="shared" si="11"/>
        <x:v>248.41</x:v>
      </x:c>
      <x:c r="T71" s="28" t="n">
        <x:f t="shared" si="12">(S71+H71)*A71</x:f>
        <x:v>0</x:v>
      </x:c>
      <x:c r="U71" s="28" t="n">
        <x:f t="shared" si="13"/>
        <x:v>828.02</x:v>
      </x:c>
      <x:c r="V71" s="28" t="n">
        <x:f t="shared" si="14"/>
        <x:v>248.41</x:v>
      </x:c>
      <x:c r="W71" s="28" t="n">
        <x:f t="shared" si="15">(V71+H71)*A71</x:f>
        <x:v>0</x:v>
      </x:c>
      <x:c r="X71" s="28"/>
      <x:c r="Y71" s="28" t="n">
        <x:f t="shared" si="16"/>
        <x:v>0</x:v>
      </x:c>
      <x:c r="Z71" s="28" t="n">
        <x:f t="shared" si="17">(Y71+H71)*A71</x:f>
        <x:v>0</x:v>
      </x:c>
      <x:c r="AA71" s="28" t="n">
        <x:v>868.05</x:v>
      </x:c>
      <x:c r="AB71" s="28" t="n">
        <x:f t="shared" si="18"/>
        <x:v>260.41</x:v>
      </x:c>
      <x:c r="AC71" s="28" t="n">
        <x:f t="shared" si="19">(AB71+H71)*A71</x:f>
        <x:v>0</x:v>
      </x:c>
      <x:c r="AD71" s="28" t="n">
        <x:v>964.67</x:v>
      </x:c>
      <x:c r="AE71" s="28" t="n">
        <x:f t="shared" si="20"/>
        <x:v>289.4</x:v>
      </x:c>
      <x:c r="AF71" s="29" t="n">
        <x:f t="shared" si="21">(AE71+H71)*A71</x:f>
        <x:v>0</x:v>
      </x:c>
    </x:row>
    <x:row r="72" ht="15.75" customHeight="1">
      <x:c r="A72" s="26"/>
      <x:c r="B72" s="27" t="s">
        <x:v>150</x:v>
      </x:c>
      <x:c r="C72" s="27" t="s">
        <x:v>151</x:v>
      </x:c>
      <x:c r="D72" s="28" t="n">
        <x:v>554.65</x:v>
      </x:c>
      <x:c r="E72" s="28" t="n">
        <x:f t="shared" si="1"/>
        <x:v>166.39</x:v>
      </x:c>
      <x:c r="F72" s="28" t="n">
        <x:f t="shared" si="2">E72*A72</x:f>
        <x:v>0</x:v>
      </x:c>
      <x:c r="G72" s="28" t="n">
        <x:v>227.07</x:v>
      </x:c>
      <x:c r="H72" s="28" t="n">
        <x:f t="shared" si="3"/>
        <x:v>68.12</x:v>
      </x:c>
      <x:c r="I72" s="28" t="n">
        <x:v>250.59</x:v>
      </x:c>
      <x:c r="J72" s="28" t="n">
        <x:f t="shared" si="4"/>
        <x:v>75.18</x:v>
      </x:c>
      <x:c r="K72" s="28" t="n">
        <x:f t="shared" si="5">(J72+H72)*A72</x:f>
        <x:v>0</x:v>
      </x:c>
      <x:c r="L72" s="28" t="n">
        <x:v>217.04</x:v>
      </x:c>
      <x:c r="M72" s="28" t="n">
        <x:f t="shared" si="6"/>
        <x:v>56.43</x:v>
      </x:c>
      <x:c r="N72" s="28" t="n">
        <x:f t="shared" si="7">(M72+H72)*A72</x:f>
        <x:v>0</x:v>
      </x:c>
      <x:c r="O72" s="28" t="n">
        <x:v>214.28</x:v>
      </x:c>
      <x:c r="P72" s="28" t="n">
        <x:f t="shared" si="8"/>
        <x:v>64.28</x:v>
      </x:c>
      <x:c r="Q72" s="28" t="n">
        <x:f t="shared" si="9">(P72+H72)*A72</x:f>
        <x:v>0</x:v>
      </x:c>
      <x:c r="R72" s="28" t="n">
        <x:f t="shared" si="24"/>
        <x:v>217.04</x:v>
      </x:c>
      <x:c r="S72" s="28" t="n">
        <x:f t="shared" si="11"/>
        <x:v>65.11</x:v>
      </x:c>
      <x:c r="T72" s="28" t="n">
        <x:f t="shared" si="12">(S72+H72)*A72</x:f>
        <x:v>0</x:v>
      </x:c>
      <x:c r="U72" s="28" t="n">
        <x:f t="shared" si="13"/>
        <x:v>217.04</x:v>
      </x:c>
      <x:c r="V72" s="28" t="n">
        <x:f t="shared" si="14"/>
        <x:v>65.11</x:v>
      </x:c>
      <x:c r="W72" s="28" t="n">
        <x:f t="shared" si="15">(V72+H72)*A72</x:f>
        <x:v>0</x:v>
      </x:c>
      <x:c r="X72" s="28" t="n">
        <x:v>451.31</x:v>
      </x:c>
      <x:c r="Y72" s="28" t="n">
        <x:f t="shared" si="16"/>
        <x:v>135.39</x:v>
      </x:c>
      <x:c r="Z72" s="28" t="n">
        <x:f t="shared" si="17">(Y72+H72)*A72</x:f>
        <x:v>0</x:v>
      </x:c>
      <x:c r="AA72" s="28" t="n">
        <x:v>235.5</x:v>
      </x:c>
      <x:c r="AB72" s="28" t="n">
        <x:f t="shared" si="18"/>
        <x:v>70.65</x:v>
      </x:c>
      <x:c r="AC72" s="28" t="n">
        <x:f t="shared" si="19">(AB72+H72)*A72</x:f>
        <x:v>0</x:v>
      </x:c>
      <x:c r="AD72" s="28" t="n">
        <x:v>268.03</x:v>
      </x:c>
      <x:c r="AE72" s="28" t="n">
        <x:f t="shared" si="20"/>
        <x:v>80.41</x:v>
      </x:c>
      <x:c r="AF72" s="29" t="n">
        <x:f t="shared" si="21">(AE72+H72)*A72</x:f>
        <x:v>0</x:v>
      </x:c>
    </x:row>
    <x:row r="73" ht="15.75" customHeight="1">
      <x:c r="A73" s="26"/>
      <x:c r="B73" s="27" t="s">
        <x:v>152</x:v>
      </x:c>
      <x:c r="C73" s="27" t="s">
        <x:v>153</x:v>
      </x:c>
      <x:c r="D73" s="28" t="n">
        <x:v>644.96</x:v>
      </x:c>
      <x:c r="E73" s="28" t="n">
        <x:f t="shared" si="1"/>
        <x:v>193.49</x:v>
      </x:c>
      <x:c r="F73" s="28" t="n">
        <x:f t="shared" si="2">E73*A73</x:f>
        <x:v>0</x:v>
      </x:c>
      <x:c r="G73" s="28" t="n">
        <x:v>268.26</x:v>
      </x:c>
      <x:c r="H73" s="28" t="n">
        <x:f t="shared" si="3"/>
        <x:v>80.48</x:v>
      </x:c>
      <x:c r="I73" s="28" t="n">
        <x:v>264.68</x:v>
      </x:c>
      <x:c r="J73" s="28" t="n">
        <x:f t="shared" si="4"/>
        <x:v>79.4</x:v>
      </x:c>
      <x:c r="K73" s="28" t="n">
        <x:f t="shared" si="5">(J73+H73)*A73</x:f>
        <x:v>0</x:v>
      </x:c>
      <x:c r="L73" s="28" t="n">
        <x:v>225.76</x:v>
      </x:c>
      <x:c r="M73" s="28" t="n">
        <x:f t="shared" si="6"/>
        <x:v>58.7</x:v>
      </x:c>
      <x:c r="N73" s="28" t="n">
        <x:f t="shared" si="7">(M73+H73)*A73</x:f>
        <x:v>0</x:v>
      </x:c>
      <x:c r="O73" s="28" t="n">
        <x:v>222.89</x:v>
      </x:c>
      <x:c r="P73" s="28" t="n">
        <x:f t="shared" si="8"/>
        <x:v>66.87</x:v>
      </x:c>
      <x:c r="Q73" s="28" t="n">
        <x:f t="shared" si="9">(P73+H73)*A73</x:f>
        <x:v>0</x:v>
      </x:c>
      <x:c r="R73" s="28" t="n">
        <x:f t="shared" si="24"/>
        <x:v>225.76</x:v>
      </x:c>
      <x:c r="S73" s="28" t="n">
        <x:f t="shared" si="11"/>
        <x:v>67.73</x:v>
      </x:c>
      <x:c r="T73" s="28" t="n">
        <x:f t="shared" si="12">(S73+H73)*A73</x:f>
        <x:v>0</x:v>
      </x:c>
      <x:c r="U73" s="28" t="n">
        <x:f t="shared" si="13"/>
        <x:v>225.76</x:v>
      </x:c>
      <x:c r="V73" s="28" t="n">
        <x:f t="shared" si="14"/>
        <x:v>67.73</x:v>
      </x:c>
      <x:c r="W73" s="28" t="n">
        <x:f t="shared" si="15">(V73+H73)*A73</x:f>
        <x:v>0</x:v>
      </x:c>
      <x:c r="X73" s="28" t="n">
        <x:v>486.61</x:v>
      </x:c>
      <x:c r="Y73" s="28" t="n">
        <x:f t="shared" si="16"/>
        <x:v>145.98</x:v>
      </x:c>
      <x:c r="Z73" s="28" t="n">
        <x:f t="shared" si="17">(Y73+H73)*A73</x:f>
        <x:v>0</x:v>
      </x:c>
      <x:c r="AA73" s="28" t="n">
        <x:v>245.44</x:v>
      </x:c>
      <x:c r="AB73" s="28" t="n">
        <x:f t="shared" si="18"/>
        <x:v>73.63</x:v>
      </x:c>
      <x:c r="AC73" s="28" t="n">
        <x:f t="shared" si="19">(AB73+H73)*A73</x:f>
        <x:v>0</x:v>
      </x:c>
      <x:c r="AD73" s="28" t="n">
        <x:v>284.81</x:v>
      </x:c>
      <x:c r="AE73" s="28" t="n">
        <x:f t="shared" si="20"/>
        <x:v>85.44</x:v>
      </x:c>
      <x:c r="AF73" s="29" t="n">
        <x:f t="shared" si="21">(AE73+H73)*A73</x:f>
        <x:v>0</x:v>
      </x:c>
    </x:row>
    <x:row r="74" ht="15.75" customHeight="1">
      <x:c r="A74" s="26"/>
      <x:c r="B74" s="27" t="s">
        <x:v>154</x:v>
      </x:c>
      <x:c r="C74" s="27" t="s">
        <x:v>155</x:v>
      </x:c>
      <x:c r="D74" s="28" t="n">
        <x:v>670.18</x:v>
      </x:c>
      <x:c r="E74" s="28" t="n">
        <x:f t="shared" si="1"/>
        <x:v>201.05</x:v>
      </x:c>
      <x:c r="F74" s="28" t="n">
        <x:f t="shared" si="2">E74*A74</x:f>
        <x:v>0</x:v>
      </x:c>
      <x:c r="G74" s="28" t="n">
        <x:v>295.64</x:v>
      </x:c>
      <x:c r="H74" s="28" t="n">
        <x:f t="shared" si="3"/>
        <x:v>88.69</x:v>
      </x:c>
      <x:c r="I74" s="28" t="n">
        <x:v>285.47</x:v>
      </x:c>
      <x:c r="J74" s="28" t="n">
        <x:f t="shared" si="4"/>
        <x:v>85.64</x:v>
      </x:c>
      <x:c r="K74" s="28" t="n">
        <x:f t="shared" si="5">(J74+H74)*A74</x:f>
        <x:v>0</x:v>
      </x:c>
      <x:c r="L74" s="28" t="n">
        <x:v>245.23</x:v>
      </x:c>
      <x:c r="M74" s="28" t="n">
        <x:f t="shared" si="6"/>
        <x:v>63.76</x:v>
      </x:c>
      <x:c r="N74" s="28" t="n">
        <x:f t="shared" si="7">(M74+H74)*A74</x:f>
        <x:v>0</x:v>
      </x:c>
      <x:c r="O74" s="28" t="n">
        <x:v>242.09</x:v>
      </x:c>
      <x:c r="P74" s="28" t="n">
        <x:f t="shared" si="8"/>
        <x:v>72.63</x:v>
      </x:c>
      <x:c r="Q74" s="28" t="n">
        <x:f t="shared" si="9">(P74+H74)*A74</x:f>
        <x:v>0</x:v>
      </x:c>
      <x:c r="R74" s="28" t="n">
        <x:f t="shared" si="24"/>
        <x:v>245.23</x:v>
      </x:c>
      <x:c r="S74" s="28" t="n">
        <x:f t="shared" si="11"/>
        <x:v>73.57</x:v>
      </x:c>
      <x:c r="T74" s="28" t="n">
        <x:f t="shared" si="12">(S74+H74)*A74</x:f>
        <x:v>0</x:v>
      </x:c>
      <x:c r="U74" s="28" t="n">
        <x:f t="shared" si="13"/>
        <x:v>245.23</x:v>
      </x:c>
      <x:c r="V74" s="28" t="n">
        <x:f t="shared" si="14"/>
        <x:v>73.57</x:v>
      </x:c>
      <x:c r="W74" s="28" t="n">
        <x:f t="shared" si="15">(V74+H74)*A74</x:f>
        <x:v>0</x:v>
      </x:c>
      <x:c r="X74" s="28" t="n">
        <x:v>521.92</x:v>
      </x:c>
      <x:c r="Y74" s="28" t="n">
        <x:f t="shared" si="16"/>
        <x:v>156.58</x:v>
      </x:c>
      <x:c r="Z74" s="28" t="n">
        <x:f t="shared" si="17">(Y74+H74)*A74</x:f>
        <x:v>0</x:v>
      </x:c>
      <x:c r="AA74" s="28" t="n">
        <x:v>266.22</x:v>
      </x:c>
      <x:c r="AB74" s="28" t="n">
        <x:f t="shared" si="18"/>
        <x:v>79.87</x:v>
      </x:c>
      <x:c r="AC74" s="28" t="n">
        <x:f t="shared" si="19">(AB74+H74)*A74</x:f>
        <x:v>0</x:v>
      </x:c>
      <x:c r="AD74" s="28" t="n">
        <x:v>306.27</x:v>
      </x:c>
      <x:c r="AE74" s="28" t="n">
        <x:f t="shared" si="20"/>
        <x:v>91.88</x:v>
      </x:c>
      <x:c r="AF74" s="29" t="n">
        <x:f t="shared" si="21">(AE74+H74)*A74</x:f>
        <x:v>0</x:v>
      </x:c>
    </x:row>
    <x:row r="75" ht="15.75" customHeight="1">
      <x:c r="A75" s="26"/>
      <x:c r="B75" s="27" t="s">
        <x:v>156</x:v>
      </x:c>
      <x:c r="C75" s="27" t="s">
        <x:v>157</x:v>
      </x:c>
      <x:c r="D75" s="28" t="n">
        <x:v>752.23</x:v>
      </x:c>
      <x:c r="E75" s="28" t="n">
        <x:f t="shared" si="1"/>
        <x:v>225.67</x:v>
      </x:c>
      <x:c r="F75" s="28" t="n">
        <x:f t="shared" si="2">E75*A75</x:f>
        <x:v>0</x:v>
      </x:c>
      <x:c r="G75" s="28" t="n">
        <x:v>331.91</x:v>
      </x:c>
      <x:c r="H75" s="28" t="n">
        <x:f t="shared" si="3"/>
        <x:v>99.57</x:v>
      </x:c>
      <x:c r="I75" s="28" t="n">
        <x:v>326.8</x:v>
      </x:c>
      <x:c r="J75" s="28" t="n">
        <x:f t="shared" si="4"/>
        <x:v>98.04</x:v>
      </x:c>
      <x:c r="K75" s="28" t="n">
        <x:f t="shared" si="5">(J75+H75)*A75</x:f>
        <x:v>0</x:v>
      </x:c>
      <x:c r="L75" s="28" t="n">
        <x:v>288.84</x:v>
      </x:c>
      <x:c r="M75" s="28" t="n">
        <x:f t="shared" si="6"/>
        <x:v>75.1</x:v>
      </x:c>
      <x:c r="N75" s="28" t="n">
        <x:f t="shared" si="7">(M75+H75)*A75</x:f>
        <x:v>0</x:v>
      </x:c>
      <x:c r="O75" s="28"/>
      <x:c r="P75" s="28" t="n">
        <x:f t="shared" si="8"/>
        <x:v>0</x:v>
      </x:c>
      <x:c r="Q75" s="28" t="n">
        <x:f t="shared" si="9">(P75+H75)*A75</x:f>
        <x:v>0</x:v>
      </x:c>
      <x:c r="R75" s="28" t="n">
        <x:f t="shared" si="24"/>
        <x:v>288.84</x:v>
      </x:c>
      <x:c r="S75" s="28" t="n">
        <x:f t="shared" si="11"/>
        <x:v>86.65</x:v>
      </x:c>
      <x:c r="T75" s="28" t="n">
        <x:f t="shared" si="12">(S75+H75)*A75</x:f>
        <x:v>0</x:v>
      </x:c>
      <x:c r="U75" s="28" t="n">
        <x:f t="shared" si="13"/>
        <x:v>288.84</x:v>
      </x:c>
      <x:c r="V75" s="28" t="n">
        <x:f t="shared" si="14"/>
        <x:v>86.65</x:v>
      </x:c>
      <x:c r="W75" s="28" t="n">
        <x:f t="shared" si="15">(V75+H75)*A75</x:f>
        <x:v>0</x:v>
      </x:c>
      <x:c r="X75" s="28"/>
      <x:c r="Y75" s="28" t="n">
        <x:f t="shared" si="16"/>
        <x:v>0</x:v>
      </x:c>
      <x:c r="Z75" s="28" t="n">
        <x:f t="shared" si="17">(Y75+H75)*A75</x:f>
        <x:v>0</x:v>
      </x:c>
      <x:c r="AA75" s="28"/>
      <x:c r="AB75" s="28" t="n">
        <x:f t="shared" si="18"/>
        <x:v>0</x:v>
      </x:c>
      <x:c r="AC75" s="28" t="n">
        <x:f t="shared" si="19">(AB75+H75)*A75</x:f>
        <x:v>0</x:v>
      </x:c>
      <x:c r="AD75" s="28"/>
      <x:c r="AE75" s="28" t="n">
        <x:f t="shared" si="20"/>
        <x:v>0</x:v>
      </x:c>
      <x:c r="AF75" s="29" t="n">
        <x:f t="shared" si="21">(AE75+H75)*A75</x:f>
        <x:v>0</x:v>
      </x:c>
    </x:row>
    <x:row r="76" ht="15.75" customHeight="1">
      <x:c r="A76" s="26"/>
      <x:c r="B76" s="27" t="s">
        <x:v>158</x:v>
      </x:c>
      <x:c r="C76" s="27" t="s">
        <x:v>159</x:v>
      </x:c>
      <x:c r="D76" s="28" t="n">
        <x:v>354.93</x:v>
      </x:c>
      <x:c r="E76" s="28" t="n">
        <x:f t="shared" si="1"/>
        <x:v>106.48</x:v>
      </x:c>
      <x:c r="F76" s="28" t="n">
        <x:f t="shared" si="2">E76*A76</x:f>
        <x:v>0</x:v>
      </x:c>
      <x:c r="G76" s="28" t="n">
        <x:v>191.04</x:v>
      </x:c>
      <x:c r="H76" s="28" t="n">
        <x:f t="shared" si="3"/>
        <x:v>57.31</x:v>
      </x:c>
      <x:c r="I76" s="28" t="n">
        <x:v>196.18</x:v>
      </x:c>
      <x:c r="J76" s="28" t="n">
        <x:f t="shared" si="4"/>
        <x:v>58.85</x:v>
      </x:c>
      <x:c r="K76" s="28" t="n">
        <x:f t="shared" si="5">(J76+H76)*A76</x:f>
        <x:v>0</x:v>
      </x:c>
      <x:c r="L76" s="28" t="n">
        <x:v>168.07</x:v>
      </x:c>
      <x:c r="M76" s="28" t="n">
        <x:f t="shared" si="6"/>
        <x:v>43.7</x:v>
      </x:c>
      <x:c r="N76" s="28" t="n">
        <x:f t="shared" si="7">(M76+H76)*A76</x:f>
        <x:v>0</x:v>
      </x:c>
      <x:c r="O76" s="28" t="n">
        <x:v>174.52</x:v>
      </x:c>
      <x:c r="P76" s="28" t="n">
        <x:f t="shared" si="8"/>
        <x:v>52.36</x:v>
      </x:c>
      <x:c r="Q76" s="28" t="n">
        <x:f t="shared" si="9">(P76+H76)*A76</x:f>
        <x:v>0</x:v>
      </x:c>
      <x:c r="R76" s="28" t="n">
        <x:f t="shared" si="24"/>
        <x:v>168.07</x:v>
      </x:c>
      <x:c r="S76" s="28" t="n">
        <x:f t="shared" si="11"/>
        <x:v>50.42</x:v>
      </x:c>
      <x:c r="T76" s="28" t="n">
        <x:f t="shared" si="12">(S76+H76)*A76</x:f>
        <x:v>0</x:v>
      </x:c>
      <x:c r="U76" s="28" t="n">
        <x:f t="shared" si="13"/>
        <x:v>168.07</x:v>
      </x:c>
      <x:c r="V76" s="28" t="n">
        <x:f t="shared" si="14"/>
        <x:v>50.42</x:v>
      </x:c>
      <x:c r="W76" s="28" t="n">
        <x:f t="shared" si="15">(V76+H76)*A76</x:f>
        <x:v>0</x:v>
      </x:c>
      <x:c r="X76" s="28" t="n">
        <x:v>380.72</x:v>
      </x:c>
      <x:c r="Y76" s="28" t="n">
        <x:f t="shared" si="16"/>
        <x:v>114.22</x:v>
      </x:c>
      <x:c r="Z76" s="28" t="n">
        <x:f t="shared" si="17">(Y76+H76)*A76</x:f>
        <x:v>0</x:v>
      </x:c>
      <x:c r="AA76" s="28" t="n">
        <x:v>187.03</x:v>
      </x:c>
      <x:c r="AB76" s="28" t="n">
        <x:f t="shared" si="18"/>
        <x:v>56.11</x:v>
      </x:c>
      <x:c r="AC76" s="28" t="n">
        <x:f t="shared" si="19">(AB76+H76)*A76</x:f>
        <x:v>0</x:v>
      </x:c>
      <x:c r="AD76" s="28" t="n">
        <x:v>218.26</x:v>
      </x:c>
      <x:c r="AE76" s="28" t="n">
        <x:f t="shared" si="20"/>
        <x:v>65.48</x:v>
      </x:c>
      <x:c r="AF76" s="29" t="n">
        <x:f t="shared" si="21">(AE76+H76)*A76</x:f>
        <x:v>0</x:v>
      </x:c>
    </x:row>
    <x:row r="77" ht="15.75" customHeight="1">
      <x:c r="A77" s="26"/>
      <x:c r="B77" s="27" t="s">
        <x:v>160</x:v>
      </x:c>
      <x:c r="C77" s="27" t="s">
        <x:v>161</x:v>
      </x:c>
      <x:c r="D77" s="28" t="n">
        <x:v>398.11</x:v>
      </x:c>
      <x:c r="E77" s="28" t="n">
        <x:f t="shared" si="1"/>
        <x:v>119.43</x:v>
      </x:c>
      <x:c r="F77" s="28" t="n">
        <x:f t="shared" si="2">E77*A77</x:f>
        <x:v>0</x:v>
      </x:c>
      <x:c r="G77" s="28" t="n">
        <x:v>204.63</x:v>
      </x:c>
      <x:c r="H77" s="28" t="n">
        <x:f t="shared" si="3"/>
        <x:v>61.39</x:v>
      </x:c>
      <x:c r="I77" s="28" t="n">
        <x:v>217.11</x:v>
      </x:c>
      <x:c r="J77" s="28" t="n">
        <x:f t="shared" si="4"/>
        <x:v>65.13</x:v>
      </x:c>
      <x:c r="K77" s="28" t="n">
        <x:f t="shared" si="5">(J77+H77)*A77</x:f>
        <x:v>0</x:v>
      </x:c>
      <x:c r="L77" s="28" t="n">
        <x:v>197.93</x:v>
      </x:c>
      <x:c r="M77" s="28" t="n">
        <x:f t="shared" si="6"/>
        <x:v>51.46</x:v>
      </x:c>
      <x:c r="N77" s="28" t="n">
        <x:f t="shared" si="7">(M77+H77)*A77</x:f>
        <x:v>0</x:v>
      </x:c>
      <x:c r="O77" s="28" t="n">
        <x:v>188.41</x:v>
      </x:c>
      <x:c r="P77" s="28" t="n">
        <x:f t="shared" si="8"/>
        <x:v>56.52</x:v>
      </x:c>
      <x:c r="Q77" s="28" t="n">
        <x:f t="shared" si="9">(P77+H77)*A77</x:f>
        <x:v>0</x:v>
      </x:c>
      <x:c r="R77" s="28" t="n">
        <x:f t="shared" si="24"/>
        <x:v>197.93</x:v>
      </x:c>
      <x:c r="S77" s="28" t="n">
        <x:f t="shared" si="11"/>
        <x:v>59.38</x:v>
      </x:c>
      <x:c r="T77" s="28" t="n">
        <x:f t="shared" si="12">(S77+H77)*A77</x:f>
        <x:v>0</x:v>
      </x:c>
      <x:c r="U77" s="28" t="n">
        <x:f t="shared" si="13"/>
        <x:v>197.93</x:v>
      </x:c>
      <x:c r="V77" s="28" t="n">
        <x:f t="shared" si="14"/>
        <x:v>59.38</x:v>
      </x:c>
      <x:c r="W77" s="28" t="n">
        <x:f t="shared" si="15">(V77+H77)*A77</x:f>
        <x:v>0</x:v>
      </x:c>
      <x:c r="X77" s="28" t="n">
        <x:v>416.01</x:v>
      </x:c>
      <x:c r="Y77" s="28" t="n">
        <x:f t="shared" si="16"/>
        <x:v>124.8</x:v>
      </x:c>
      <x:c r="Z77" s="28" t="n">
        <x:f t="shared" si="17">(Y77+H77)*A77</x:f>
        <x:v>0</x:v>
      </x:c>
      <x:c r="AA77" s="28" t="n">
        <x:v>207.82</x:v>
      </x:c>
      <x:c r="AB77" s="28" t="n">
        <x:f t="shared" si="18"/>
        <x:v>62.34</x:v>
      </x:c>
      <x:c r="AC77" s="28" t="n">
        <x:f t="shared" si="19">(AB77+H77)*A77</x:f>
        <x:v>0</x:v>
      </x:c>
      <x:c r="AD77" s="28" t="n">
        <x:v>234.48</x:v>
      </x:c>
      <x:c r="AE77" s="28" t="n">
        <x:f t="shared" si="20"/>
        <x:v>70.35</x:v>
      </x:c>
      <x:c r="AF77" s="29" t="n">
        <x:f t="shared" si="21">(AE77+H77)*A77</x:f>
        <x:v>0</x:v>
      </x:c>
    </x:row>
    <x:row r="78" ht="15.75" customHeight="1">
      <x:c r="A78" s="26"/>
      <x:c r="B78" s="27" t="s">
        <x:v>162</x:v>
      </x:c>
      <x:c r="C78" s="27" t="s">
        <x:v>163</x:v>
      </x:c>
      <x:c r="D78" s="28" t="n">
        <x:v>427.92</x:v>
      </x:c>
      <x:c r="E78" s="28" t="n">
        <x:f t="shared" si="1"/>
        <x:v>128.38</x:v>
      </x:c>
      <x:c r="F78" s="28" t="n">
        <x:f t="shared" si="2">E78*A78</x:f>
        <x:v>0</x:v>
      </x:c>
      <x:c r="G78" s="28" t="n">
        <x:v>210.14</x:v>
      </x:c>
      <x:c r="H78" s="28" t="n">
        <x:f t="shared" si="3"/>
        <x:v>63.04</x:v>
      </x:c>
      <x:c r="I78" s="28" t="n">
        <x:v>243.34</x:v>
      </x:c>
      <x:c r="J78" s="28" t="n">
        <x:f t="shared" si="4"/>
        <x:v>73</x:v>
      </x:c>
      <x:c r="K78" s="28" t="n">
        <x:f t="shared" si="5">(J78+H78)*A78</x:f>
        <x:v>0</x:v>
      </x:c>
      <x:c r="L78" s="28" t="n">
        <x:v>222.27</x:v>
      </x:c>
      <x:c r="M78" s="28" t="n">
        <x:f t="shared" si="6"/>
        <x:v>57.79</x:v>
      </x:c>
      <x:c r="N78" s="28" t="n">
        <x:f t="shared" si="7">(M78+H78)*A78</x:f>
        <x:v>0</x:v>
      </x:c>
      <x:c r="O78" s="28" t="n">
        <x:v>214.28</x:v>
      </x:c>
      <x:c r="P78" s="28" t="n">
        <x:f t="shared" si="8"/>
        <x:v>64.28</x:v>
      </x:c>
      <x:c r="Q78" s="28" t="n">
        <x:f t="shared" si="9">(P78+H78)*A78</x:f>
        <x:v>0</x:v>
      </x:c>
      <x:c r="R78" s="28" t="n">
        <x:f t="shared" si="24"/>
        <x:v>222.27</x:v>
      </x:c>
      <x:c r="S78" s="28" t="n">
        <x:f t="shared" si="11"/>
        <x:v>66.68</x:v>
      </x:c>
      <x:c r="T78" s="28" t="n">
        <x:f t="shared" si="12">(S78+H78)*A78</x:f>
        <x:v>0</x:v>
      </x:c>
      <x:c r="U78" s="28" t="n">
        <x:f t="shared" si="13"/>
        <x:v>222.27</x:v>
      </x:c>
      <x:c r="V78" s="28" t="n">
        <x:f t="shared" si="14"/>
        <x:v>66.68</x:v>
      </x:c>
      <x:c r="W78" s="28" t="n">
        <x:f t="shared" si="15">(V78+H78)*A78</x:f>
        <x:v>0</x:v>
      </x:c>
      <x:c r="X78" s="28" t="n">
        <x:v>451.31</x:v>
      </x:c>
      <x:c r="Y78" s="28" t="n">
        <x:f t="shared" si="16"/>
        <x:v>135.39</x:v>
      </x:c>
      <x:c r="Z78" s="28" t="n">
        <x:f t="shared" si="17">(Y78+H78)*A78</x:f>
        <x:v>0</x:v>
      </x:c>
      <x:c r="AA78" s="28" t="n">
        <x:v>235.5</x:v>
      </x:c>
      <x:c r="AB78" s="28" t="n">
        <x:f t="shared" si="18"/>
        <x:v>70.65</x:v>
      </x:c>
      <x:c r="AC78" s="28" t="n">
        <x:f t="shared" si="19">(AB78+H78)*A78</x:f>
        <x:v>0</x:v>
      </x:c>
      <x:c r="AD78" s="28" t="n">
        <x:v>273</x:v>
      </x:c>
      <x:c r="AE78" s="28" t="n">
        <x:f t="shared" si="20"/>
        <x:v>81.9</x:v>
      </x:c>
      <x:c r="AF78" s="29" t="n">
        <x:f t="shared" si="21">(AE78+H78)*A78</x:f>
        <x:v>0</x:v>
      </x:c>
    </x:row>
    <x:row r="79" ht="15.75" customHeight="1">
      <x:c r="A79" s="26"/>
      <x:c r="B79" s="27" t="s">
        <x:v>164</x:v>
      </x:c>
      <x:c r="C79" s="27" t="s">
        <x:v>165</x:v>
      </x:c>
      <x:c r="D79" s="28" t="n">
        <x:v>443.94</x:v>
      </x:c>
      <x:c r="E79" s="28" t="n">
        <x:f t="shared" si="1"/>
        <x:v>133.18</x:v>
      </x:c>
      <x:c r="F79" s="28" t="n">
        <x:f t="shared" si="2">E79*A79</x:f>
        <x:v>0</x:v>
      </x:c>
      <x:c r="G79" s="28" t="n">
        <x:v>216.98</x:v>
      </x:c>
      <x:c r="H79" s="28" t="n">
        <x:f t="shared" si="3"/>
        <x:v>65.09</x:v>
      </x:c>
      <x:c r="I79" s="28" t="n">
        <x:v>261.81</x:v>
      </x:c>
      <x:c r="J79" s="28" t="n">
        <x:f t="shared" si="4"/>
        <x:v>78.54</x:v>
      </x:c>
      <x:c r="K79" s="28" t="n">
        <x:f t="shared" si="5">(J79+H79)*A79</x:f>
        <x:v>0</x:v>
      </x:c>
      <x:c r="L79" s="28" t="n">
        <x:v>232.41</x:v>
      </x:c>
      <x:c r="M79" s="28" t="n">
        <x:f t="shared" si="6"/>
        <x:v>60.43</x:v>
      </x:c>
      <x:c r="N79" s="28" t="n">
        <x:f t="shared" si="7">(M79+H79)*A79</x:f>
        <x:v>0</x:v>
      </x:c>
      <x:c r="O79" s="28" t="n">
        <x:v>222.89</x:v>
      </x:c>
      <x:c r="P79" s="28" t="n">
        <x:f t="shared" si="8"/>
        <x:v>66.87</x:v>
      </x:c>
      <x:c r="Q79" s="28" t="n">
        <x:f t="shared" si="9">(P79+H79)*A79</x:f>
        <x:v>0</x:v>
      </x:c>
      <x:c r="R79" s="28" t="n">
        <x:f t="shared" si="24"/>
        <x:v>232.41</x:v>
      </x:c>
      <x:c r="S79" s="28" t="n">
        <x:f t="shared" si="11"/>
        <x:v>69.72</x:v>
      </x:c>
      <x:c r="T79" s="28" t="n">
        <x:f t="shared" si="12">(S79+H79)*A79</x:f>
        <x:v>0</x:v>
      </x:c>
      <x:c r="U79" s="28" t="n">
        <x:f t="shared" si="13"/>
        <x:v>232.41</x:v>
      </x:c>
      <x:c r="V79" s="28" t="n">
        <x:f t="shared" si="14"/>
        <x:v>69.72</x:v>
      </x:c>
      <x:c r="W79" s="28" t="n">
        <x:f t="shared" si="15">(V79+H79)*A79</x:f>
        <x:v>0</x:v>
      </x:c>
      <x:c r="X79" s="28" t="n">
        <x:v>486.61</x:v>
      </x:c>
      <x:c r="Y79" s="28" t="n">
        <x:f t="shared" si="16"/>
        <x:v>145.98</x:v>
      </x:c>
      <x:c r="Z79" s="28" t="n">
        <x:f t="shared" si="17">(Y79+H79)*A79</x:f>
        <x:v>0</x:v>
      </x:c>
      <x:c r="AA79" s="28" t="n">
        <x:v>245.44</x:v>
      </x:c>
      <x:c r="AB79" s="28" t="n">
        <x:f t="shared" si="18"/>
        <x:v>73.63</x:v>
      </x:c>
      <x:c r="AC79" s="28" t="n">
        <x:f t="shared" si="19">(AB79+H79)*A79</x:f>
        <x:v>0</x:v>
      </x:c>
      <x:c r="AD79" s="28" t="n">
        <x:v>290.17</x:v>
      </x:c>
      <x:c r="AE79" s="28" t="n">
        <x:f t="shared" si="20"/>
        <x:v>87.05</x:v>
      </x:c>
      <x:c r="AF79" s="29" t="n">
        <x:f t="shared" si="21">(AE79+H79)*A79</x:f>
        <x:v>0</x:v>
      </x:c>
    </x:row>
    <x:row r="80" ht="15.75" customHeight="1">
      <x:c r="A80" s="26"/>
      <x:c r="B80" s="27" t="s">
        <x:v>166</x:v>
      </x:c>
      <x:c r="C80" s="27" t="s">
        <x:v>167</x:v>
      </x:c>
      <x:c r="D80" s="28" t="n">
        <x:v>488.43</x:v>
      </x:c>
      <x:c r="E80" s="28" t="n">
        <x:f t="shared" si="1"/>
        <x:v>146.53</x:v>
      </x:c>
      <x:c r="F80" s="28" t="n">
        <x:f t="shared" si="2">E80*A80</x:f>
        <x:v>0</x:v>
      </x:c>
      <x:c r="G80" s="28" t="n">
        <x:v>242.27</x:v>
      </x:c>
      <x:c r="H80" s="28" t="n">
        <x:f t="shared" si="3"/>
        <x:v>72.68</x:v>
      </x:c>
      <x:c r="I80" s="28" t="n">
        <x:v>281.43</x:v>
      </x:c>
      <x:c r="J80" s="28" t="n">
        <x:f t="shared" si="4"/>
        <x:v>84.43</x:v>
      </x:c>
      <x:c r="K80" s="28" t="n">
        <x:f t="shared" si="5">(J80+H80)*A80</x:f>
        <x:v>0</x:v>
      </x:c>
      <x:c r="L80" s="28" t="n">
        <x:v>252.2</x:v>
      </x:c>
      <x:c r="M80" s="28" t="n">
        <x:f t="shared" si="6"/>
        <x:v>65.57</x:v>
      </x:c>
      <x:c r="N80" s="28" t="n">
        <x:f t="shared" si="7">(M80+H80)*A80</x:f>
        <x:v>0</x:v>
      </x:c>
      <x:c r="O80" s="28" t="n">
        <x:v>242.09</x:v>
      </x:c>
      <x:c r="P80" s="28" t="n">
        <x:f t="shared" si="8"/>
        <x:v>72.63</x:v>
      </x:c>
      <x:c r="Q80" s="28" t="n">
        <x:f t="shared" si="9">(P80+H80)*A80</x:f>
        <x:v>0</x:v>
      </x:c>
      <x:c r="R80" s="28" t="n">
        <x:f t="shared" si="24"/>
        <x:v>252.2</x:v>
      </x:c>
      <x:c r="S80" s="28" t="n">
        <x:f t="shared" si="11"/>
        <x:v>75.66</x:v>
      </x:c>
      <x:c r="T80" s="28" t="n">
        <x:f t="shared" si="12">(S80+H80)*A80</x:f>
        <x:v>0</x:v>
      </x:c>
      <x:c r="U80" s="28" t="n">
        <x:f t="shared" si="13"/>
        <x:v>252.2</x:v>
      </x:c>
      <x:c r="V80" s="28" t="n">
        <x:f t="shared" si="14"/>
        <x:v>75.66</x:v>
      </x:c>
      <x:c r="W80" s="28" t="n">
        <x:f t="shared" si="15">(V80+H80)*A80</x:f>
        <x:v>0</x:v>
      </x:c>
      <x:c r="X80" s="28" t="n">
        <x:v>521.92</x:v>
      </x:c>
      <x:c r="Y80" s="28" t="n">
        <x:f t="shared" si="16"/>
        <x:v>156.58</x:v>
      </x:c>
      <x:c r="Z80" s="28" t="n">
        <x:f t="shared" si="17">(Y80+H80)*A80</x:f>
        <x:v>0</x:v>
      </x:c>
      <x:c r="AA80" s="28" t="n">
        <x:v>266.22</x:v>
      </x:c>
      <x:c r="AB80" s="28" t="n">
        <x:f t="shared" si="18"/>
        <x:v>79.87</x:v>
      </x:c>
      <x:c r="AC80" s="28" t="n">
        <x:f t="shared" si="19">(AB80+H80)*A80</x:f>
        <x:v>0</x:v>
      </x:c>
      <x:c r="AD80" s="28" t="n">
        <x:v>312.85</x:v>
      </x:c>
      <x:c r="AE80" s="28" t="n">
        <x:f t="shared" si="20"/>
        <x:v>93.85</x:v>
      </x:c>
      <x:c r="AF80" s="29" t="n">
        <x:f t="shared" si="21">(AE80+H80)*A80</x:f>
        <x:v>0</x:v>
      </x:c>
    </x:row>
    <x:row r="81" ht="15.75" customHeight="1">
      <x:c r="A81" s="26"/>
      <x:c r="B81" s="27" t="s">
        <x:v>168</x:v>
      </x:c>
      <x:c r="C81" s="27" t="s">
        <x:v>169</x:v>
      </x:c>
      <x:c r="D81" s="28" t="n">
        <x:v>554.65</x:v>
      </x:c>
      <x:c r="E81" s="28" t="n">
        <x:f t="shared" si="1"/>
        <x:v>166.39</x:v>
      </x:c>
      <x:c r="F81" s="28" t="n">
        <x:f t="shared" si="2">E81*A81</x:f>
        <x:v>0</x:v>
      </x:c>
      <x:c r="G81" s="28" t="n">
        <x:v>264.82</x:v>
      </x:c>
      <x:c r="H81" s="28" t="n">
        <x:f t="shared" si="3"/>
        <x:v>79.45</x:v>
      </x:c>
      <x:c r="I81" s="28" t="n">
        <x:v>317.01</x:v>
      </x:c>
      <x:c r="J81" s="28" t="n">
        <x:f t="shared" si="4"/>
        <x:v>95.1</x:v>
      </x:c>
      <x:c r="K81" s="28" t="n">
        <x:f t="shared" si="5">(J81+H81)*A81</x:f>
        <x:v>0</x:v>
      </x:c>
      <x:c r="L81" s="28" t="n">
        <x:v>296.54</x:v>
      </x:c>
      <x:c r="M81" s="28" t="n">
        <x:f t="shared" si="6"/>
        <x:v>77.1</x:v>
      </x:c>
      <x:c r="N81" s="28" t="n">
        <x:f t="shared" si="7">(M81+H81)*A81</x:f>
        <x:v>0</x:v>
      </x:c>
      <x:c r="O81" s="28"/>
      <x:c r="P81" s="28" t="n">
        <x:f t="shared" si="8"/>
        <x:v>0</x:v>
      </x:c>
      <x:c r="Q81" s="28" t="n">
        <x:f t="shared" si="9">(P81+H81)*A81</x:f>
        <x:v>0</x:v>
      </x:c>
      <x:c r="R81" s="28" t="n">
        <x:f t="shared" si="24"/>
        <x:v>296.54</x:v>
      </x:c>
      <x:c r="S81" s="28" t="n">
        <x:f t="shared" si="11"/>
        <x:v>88.96</x:v>
      </x:c>
      <x:c r="T81" s="28" t="n">
        <x:f t="shared" si="12">(S81+H81)*A81</x:f>
        <x:v>0</x:v>
      </x:c>
      <x:c r="U81" s="28" t="n">
        <x:f t="shared" si="13"/>
        <x:v>296.54</x:v>
      </x:c>
      <x:c r="V81" s="28" t="n">
        <x:f t="shared" si="14"/>
        <x:v>88.96</x:v>
      </x:c>
      <x:c r="W81" s="28" t="n">
        <x:f t="shared" si="15">(V81+H81)*A81</x:f>
        <x:v>0</x:v>
      </x:c>
      <x:c r="X81" s="28"/>
      <x:c r="Y81" s="28" t="n">
        <x:f t="shared" si="16"/>
        <x:v>0</x:v>
      </x:c>
      <x:c r="Z81" s="28" t="n">
        <x:f t="shared" si="17">(Y81+H81)*A81</x:f>
        <x:v>0</x:v>
      </x:c>
      <x:c r="AA81" s="28" t="n">
        <x:v>313.49</x:v>
      </x:c>
      <x:c r="AB81" s="28" t="n">
        <x:f t="shared" si="18"/>
        <x:v>94.05</x:v>
      </x:c>
      <x:c r="AC81" s="28" t="n">
        <x:f t="shared" si="19">(AB81+H81)*A81</x:f>
        <x:v>0</x:v>
      </x:c>
      <x:c r="AD81" s="28" t="n">
        <x:v>345.53</x:v>
      </x:c>
      <x:c r="AE81" s="28" t="n">
        <x:f t="shared" si="20"/>
        <x:v>103.66</x:v>
      </x:c>
      <x:c r="AF81" s="29" t="n">
        <x:f t="shared" si="21">(AE81+H81)*A81</x:f>
        <x:v>0</x:v>
      </x:c>
    </x:row>
    <x:row r="82" ht="15.75" customHeight="1">
      <x:c r="A82" s="26"/>
      <x:c r="B82" s="27" t="s">
        <x:v>170</x:v>
      </x:c>
      <x:c r="C82" s="27" t="s">
        <x:v>171</x:v>
      </x:c>
      <x:c r="D82" s="28" t="n">
        <x:v>228.51</x:v>
      </x:c>
      <x:c r="E82" s="28" t="n">
        <x:f t="shared" si="1"/>
        <x:v>68.55</x:v>
      </x:c>
      <x:c r="F82" s="28" t="n">
        <x:f t="shared" si="2">E82*A82</x:f>
        <x:v>0</x:v>
      </x:c>
      <x:c r="G82" s="28"/>
      <x:c r="H82" s="28" t="n">
        <x:f t="shared" si="3"/>
        <x:v>0</x:v>
      </x:c>
      <x:c r="I82" s="28" t="n">
        <x:v>242.2</x:v>
      </x:c>
      <x:c r="J82" s="28" t="n">
        <x:f t="shared" si="4"/>
        <x:v>72.66</x:v>
      </x:c>
      <x:c r="K82" s="28" t="n">
        <x:f t="shared" si="5">(J82+H82)*A82</x:f>
        <x:v>0</x:v>
      </x:c>
      <x:c r="L82" s="28" t="n">
        <x:v>228.51</x:v>
      </x:c>
      <x:c r="M82" s="28" t="n">
        <x:f t="shared" si="6"/>
        <x:v>59.41</x:v>
      </x:c>
      <x:c r="N82" s="28" t="n">
        <x:f t="shared" si="7">(M82+H82)*A82</x:f>
        <x:v>0</x:v>
      </x:c>
      <x:c r="O82" s="28" t="n">
        <x:v>214.83</x:v>
      </x:c>
      <x:c r="P82" s="28" t="n">
        <x:f t="shared" si="8"/>
        <x:v>64.45</x:v>
      </x:c>
      <x:c r="Q82" s="28" t="n">
        <x:f t="shared" si="9">(P82+H82)*A82</x:f>
        <x:v>0</x:v>
      </x:c>
      <x:c r="R82" s="28" t="n">
        <x:f t="shared" si="24"/>
        <x:v>228.51</x:v>
      </x:c>
      <x:c r="S82" s="28" t="n">
        <x:f t="shared" si="11"/>
        <x:v>68.55</x:v>
      </x:c>
      <x:c r="T82" s="28" t="n">
        <x:f t="shared" si="12">(S82+H82)*A82</x:f>
        <x:v>0</x:v>
      </x:c>
      <x:c r="U82" s="28" t="n">
        <x:f t="shared" si="13"/>
        <x:v>228.51</x:v>
      </x:c>
      <x:c r="V82" s="28" t="n">
        <x:f t="shared" si="14"/>
        <x:v>68.55</x:v>
      </x:c>
      <x:c r="W82" s="28" t="n">
        <x:f t="shared" si="15">(V82+H82)*A82</x:f>
        <x:v>0</x:v>
      </x:c>
      <x:c r="X82" s="28" t="n">
        <x:v>261.58</x:v>
      </x:c>
      <x:c r="Y82" s="28" t="n">
        <x:f t="shared" si="16"/>
        <x:v>78.47</x:v>
      </x:c>
      <x:c r="Z82" s="28" t="n">
        <x:f t="shared" si="17">(Y82+H82)*A82</x:f>
        <x:v>0</x:v>
      </x:c>
      <x:c r="AA82" s="28" t="n">
        <x:v>242.2</x:v>
      </x:c>
      <x:c r="AB82" s="28" t="n">
        <x:f t="shared" si="18"/>
        <x:v>72.66</x:v>
      </x:c>
      <x:c r="AC82" s="28" t="n">
        <x:f t="shared" si="19">(AB82+H82)*A82</x:f>
        <x:v>0</x:v>
      </x:c>
      <x:c r="AD82" s="28" t="n">
        <x:v>249.04</x:v>
      </x:c>
      <x:c r="AE82" s="28" t="n">
        <x:f t="shared" si="20"/>
        <x:v>74.71</x:v>
      </x:c>
      <x:c r="AF82" s="29" t="n">
        <x:f t="shared" si="21">(AE82+H82)*A82</x:f>
        <x:v>0</x:v>
      </x:c>
    </x:row>
    <x:row r="83" ht="15.75" customHeight="1">
      <x:c r="A83" s="26"/>
      <x:c r="B83" s="27" t="s">
        <x:v>172</x:v>
      </x:c>
      <x:c r="C83" s="27" t="s">
        <x:v>173</x:v>
      </x:c>
      <x:c r="D83" s="28" t="n">
        <x:v>251.39</x:v>
      </x:c>
      <x:c r="E83" s="28" t="n">
        <x:f t="shared" si="1"/>
        <x:v>75.42</x:v>
      </x:c>
      <x:c r="F83" s="28" t="n">
        <x:f t="shared" si="2">E83*A83</x:f>
        <x:v>0</x:v>
      </x:c>
      <x:c r="G83" s="28"/>
      <x:c r="H83" s="28" t="n">
        <x:f t="shared" si="3"/>
        <x:v>0</x:v>
      </x:c>
      <x:c r="I83" s="28" t="n">
        <x:v>266.49</x:v>
      </x:c>
      <x:c r="J83" s="28" t="n">
        <x:f t="shared" si="4"/>
        <x:v>79.95</x:v>
      </x:c>
      <x:c r="K83" s="28" t="n">
        <x:f t="shared" si="5">(J83+H83)*A83</x:f>
        <x:v>0</x:v>
      </x:c>
      <x:c r="L83" s="28" t="n">
        <x:v>251.39</x:v>
      </x:c>
      <x:c r="M83" s="28" t="n">
        <x:f t="shared" si="6"/>
        <x:v>65.36</x:v>
      </x:c>
      <x:c r="N83" s="28" t="n">
        <x:f t="shared" si="7">(M83+H83)*A83</x:f>
        <x:v>0</x:v>
      </x:c>
      <x:c r="O83" s="28" t="n">
        <x:v>236.37</x:v>
      </x:c>
      <x:c r="P83" s="28" t="n">
        <x:f t="shared" si="8"/>
        <x:v>70.91</x:v>
      </x:c>
      <x:c r="Q83" s="28" t="n">
        <x:f t="shared" si="9">(P83+H83)*A83</x:f>
        <x:v>0</x:v>
      </x:c>
      <x:c r="R83" s="28" t="n">
        <x:f t="shared" si="24"/>
        <x:v>251.39</x:v>
      </x:c>
      <x:c r="S83" s="28" t="n">
        <x:f t="shared" si="11"/>
        <x:v>75.42</x:v>
      </x:c>
      <x:c r="T83" s="28" t="n">
        <x:f t="shared" si="12">(S83+H83)*A83</x:f>
        <x:v>0</x:v>
      </x:c>
      <x:c r="U83" s="28" t="n">
        <x:f t="shared" si="13"/>
        <x:v>251.39</x:v>
      </x:c>
      <x:c r="V83" s="28" t="n">
        <x:f t="shared" si="14"/>
        <x:v>75.42</x:v>
      </x:c>
      <x:c r="W83" s="28" t="n">
        <x:f t="shared" si="15">(V83+H83)*A83</x:f>
        <x:v>0</x:v>
      </x:c>
      <x:c r="X83" s="28" t="n">
        <x:v>305.47</x:v>
      </x:c>
      <x:c r="Y83" s="28" t="n">
        <x:f t="shared" si="16"/>
        <x:v>91.64</x:v>
      </x:c>
      <x:c r="Z83" s="28" t="n">
        <x:f t="shared" si="17">(Y83+H83)*A83</x:f>
        <x:v>0</x:v>
      </x:c>
      <x:c r="AA83" s="28" t="n">
        <x:v>266.49</x:v>
      </x:c>
      <x:c r="AB83" s="28" t="n">
        <x:f t="shared" si="18"/>
        <x:v>79.95</x:v>
      </x:c>
      <x:c r="AC83" s="28" t="n">
        <x:f t="shared" si="19">(AB83+H83)*A83</x:f>
        <x:v>0</x:v>
      </x:c>
      <x:c r="AD83" s="28" t="n">
        <x:v>274</x:v>
      </x:c>
      <x:c r="AE83" s="28" t="n">
        <x:f t="shared" si="20"/>
        <x:v>82.2</x:v>
      </x:c>
      <x:c r="AF83" s="29" t="n">
        <x:f t="shared" si="21">(AE83+H83)*A83</x:f>
        <x:v>0</x:v>
      </x:c>
    </x:row>
    <x:row r="84" ht="15.75" customHeight="1">
      <x:c r="A84" s="26"/>
      <x:c r="B84" s="27" t="s">
        <x:v>174</x:v>
      </x:c>
      <x:c r="C84" s="27" t="s">
        <x:v>175</x:v>
      </x:c>
      <x:c r="D84" s="28" t="n">
        <x:v>649.45</x:v>
      </x:c>
      <x:c r="E84" s="28" t="n">
        <x:f t="shared" si="1"/>
        <x:v>194.83</x:v>
      </x:c>
      <x:c r="F84" s="28" t="n">
        <x:f t="shared" si="2">E84*A84</x:f>
        <x:v>0</x:v>
      </x:c>
      <x:c r="G84" s="28" t="n">
        <x:v>364.31</x:v>
      </x:c>
      <x:c r="H84" s="28" t="n">
        <x:f t="shared" si="3"/>
        <x:v>109.29</x:v>
      </x:c>
      <x:c r="I84" s="28" t="n">
        <x:v>330.97</x:v>
      </x:c>
      <x:c r="J84" s="28" t="n">
        <x:f t="shared" si="4"/>
        <x:v>99.29</x:v>
      </x:c>
      <x:c r="K84" s="28" t="n">
        <x:f t="shared" si="5">(J84+H84)*A84</x:f>
        <x:v>0</x:v>
      </x:c>
      <x:c r="L84" s="28" t="n">
        <x:v>292.39</x:v>
      </x:c>
      <x:c r="M84" s="28" t="n">
        <x:f t="shared" si="6"/>
        <x:v>76.02</x:v>
      </x:c>
      <x:c r="N84" s="28" t="n">
        <x:f t="shared" si="7">(M84+H84)*A84</x:f>
        <x:v>0</x:v>
      </x:c>
      <x:c r="O84" s="28" t="n">
        <x:v>288.64</x:v>
      </x:c>
      <x:c r="P84" s="28" t="n">
        <x:f t="shared" si="8"/>
        <x:v>86.59</x:v>
      </x:c>
      <x:c r="Q84" s="28" t="n">
        <x:f t="shared" si="9">(P84+H84)*A84</x:f>
        <x:v>0</x:v>
      </x:c>
      <x:c r="R84" s="28" t="n">
        <x:f t="shared" si="24"/>
        <x:v>292.39</x:v>
      </x:c>
      <x:c r="S84" s="28" t="n">
        <x:f t="shared" si="11"/>
        <x:v>87.72</x:v>
      </x:c>
      <x:c r="T84" s="28" t="n">
        <x:f t="shared" si="12">(S84+H84)*A84</x:f>
        <x:v>0</x:v>
      </x:c>
      <x:c r="U84" s="28" t="n">
        <x:f t="shared" si="13"/>
        <x:v>292.39</x:v>
      </x:c>
      <x:c r="V84" s="28" t="n">
        <x:f t="shared" si="14"/>
        <x:v>87.72</x:v>
      </x:c>
      <x:c r="W84" s="28" t="n">
        <x:f t="shared" si="15">(V84+H84)*A84</x:f>
        <x:v>0</x:v>
      </x:c>
      <x:c r="X84" s="28"/>
      <x:c r="Y84" s="28" t="n">
        <x:f t="shared" si="16"/>
        <x:v>0</x:v>
      </x:c>
      <x:c r="Z84" s="28" t="n">
        <x:f t="shared" si="17">(Y84+H84)*A84</x:f>
        <x:v>0</x:v>
      </x:c>
      <x:c r="AA84" s="28" t="n">
        <x:v>308.38</x:v>
      </x:c>
      <x:c r="AB84" s="28" t="n">
        <x:f t="shared" si="18"/>
        <x:v>92.51</x:v>
      </x:c>
      <x:c r="AC84" s="28" t="n">
        <x:f t="shared" si="19">(AB84+H84)*A84</x:f>
        <x:v>0</x:v>
      </x:c>
      <x:c r="AD84" s="28" t="n">
        <x:v>351.76</x:v>
      </x:c>
      <x:c r="AE84" s="28" t="n">
        <x:f t="shared" si="20"/>
        <x:v>105.53</x:v>
      </x:c>
      <x:c r="AF84" s="29" t="n">
        <x:f t="shared" si="21">(AE84+H84)*A84</x:f>
        <x:v>0</x:v>
      </x:c>
    </x:row>
    <x:row r="85" ht="15.75" customHeight="1">
      <x:c r="A85" s="26"/>
      <x:c r="B85" s="27" t="s">
        <x:v>176</x:v>
      </x:c>
      <x:c r="C85" s="27" t="s">
        <x:v>177</x:v>
      </x:c>
      <x:c r="D85" s="28" t="n">
        <x:v>649.45</x:v>
      </x:c>
      <x:c r="E85" s="28" t="n">
        <x:f t="shared" si="1"/>
        <x:v>194.83</x:v>
      </x:c>
      <x:c r="F85" s="28" t="n">
        <x:f t="shared" si="2">E85*A85</x:f>
        <x:v>0</x:v>
      </x:c>
      <x:c r="G85" s="28" t="n">
        <x:v>364.31</x:v>
      </x:c>
      <x:c r="H85" s="28" t="n">
        <x:f t="shared" si="3"/>
        <x:v>109.29</x:v>
      </x:c>
      <x:c r="I85" s="28" t="n">
        <x:v>330.97</x:v>
      </x:c>
      <x:c r="J85" s="28" t="n">
        <x:f t="shared" si="4"/>
        <x:v>99.29</x:v>
      </x:c>
      <x:c r="K85" s="28" t="n">
        <x:f t="shared" si="5">(J85+H85)*A85</x:f>
        <x:v>0</x:v>
      </x:c>
      <x:c r="L85" s="28" t="n">
        <x:v>292.39</x:v>
      </x:c>
      <x:c r="M85" s="28" t="n">
        <x:f t="shared" si="6"/>
        <x:v>76.02</x:v>
      </x:c>
      <x:c r="N85" s="28" t="n">
        <x:f t="shared" si="7">(M85+H85)*A85</x:f>
        <x:v>0</x:v>
      </x:c>
      <x:c r="O85" s="28" t="n">
        <x:v>288.64</x:v>
      </x:c>
      <x:c r="P85" s="28" t="n">
        <x:f t="shared" si="8"/>
        <x:v>86.59</x:v>
      </x:c>
      <x:c r="Q85" s="28" t="n">
        <x:f t="shared" si="9">(P85+H85)*A85</x:f>
        <x:v>0</x:v>
      </x:c>
      <x:c r="R85" s="28" t="n">
        <x:f t="shared" si="24"/>
        <x:v>292.39</x:v>
      </x:c>
      <x:c r="S85" s="28" t="n">
        <x:f t="shared" si="11"/>
        <x:v>87.72</x:v>
      </x:c>
      <x:c r="T85" s="28" t="n">
        <x:f t="shared" si="12">(S85+H85)*A85</x:f>
        <x:v>0</x:v>
      </x:c>
      <x:c r="U85" s="28" t="n">
        <x:f t="shared" si="13"/>
        <x:v>292.39</x:v>
      </x:c>
      <x:c r="V85" s="28" t="n">
        <x:f t="shared" si="14"/>
        <x:v>87.72</x:v>
      </x:c>
      <x:c r="W85" s="28" t="n">
        <x:f t="shared" si="15">(V85+H85)*A85</x:f>
        <x:v>0</x:v>
      </x:c>
      <x:c r="X85" s="28"/>
      <x:c r="Y85" s="28" t="n">
        <x:f t="shared" si="16"/>
        <x:v>0</x:v>
      </x:c>
      <x:c r="Z85" s="28" t="n">
        <x:f t="shared" si="17">(Y85+H85)*A85</x:f>
        <x:v>0</x:v>
      </x:c>
      <x:c r="AA85" s="28" t="n">
        <x:v>308.38</x:v>
      </x:c>
      <x:c r="AB85" s="28" t="n">
        <x:f t="shared" si="18"/>
        <x:v>92.51</x:v>
      </x:c>
      <x:c r="AC85" s="28" t="n">
        <x:f t="shared" si="19">(AB85+H85)*A85</x:f>
        <x:v>0</x:v>
      </x:c>
      <x:c r="AD85" s="28" t="n">
        <x:v>351.76</x:v>
      </x:c>
      <x:c r="AE85" s="28" t="n">
        <x:f t="shared" si="20"/>
        <x:v>105.53</x:v>
      </x:c>
      <x:c r="AF85" s="29" t="n">
        <x:f t="shared" si="21">(AE85+H85)*A85</x:f>
        <x:v>0</x:v>
      </x:c>
    </x:row>
    <x:row r="86" ht="15.75" customHeight="1">
      <x:c r="A86" s="26"/>
      <x:c r="B86" s="27" t="s">
        <x:v>178</x:v>
      </x:c>
      <x:c r="C86" s="27" t="s">
        <x:v>179</x:v>
      </x:c>
      <x:c r="D86" s="28" t="n">
        <x:v>676.5</x:v>
      </x:c>
      <x:c r="E86" s="28" t="n">
        <x:f t="shared" si="1"/>
        <x:v>202.95</x:v>
      </x:c>
      <x:c r="F86" s="28" t="n">
        <x:f t="shared" si="2">E86*A86</x:f>
        <x:v>0</x:v>
      </x:c>
      <x:c r="G86" s="28" t="n">
        <x:v>388.13</x:v>
      </x:c>
      <x:c r="H86" s="28" t="n">
        <x:f t="shared" si="3"/>
        <x:v>116.44</x:v>
      </x:c>
      <x:c r="I86" s="28" t="n">
        <x:v>336.33</x:v>
      </x:c>
      <x:c r="J86" s="28" t="n">
        <x:f t="shared" si="4"/>
        <x:v>100.9</x:v>
      </x:c>
      <x:c r="K86" s="28" t="n">
        <x:f t="shared" si="5">(J86+H86)*A86</x:f>
        <x:v>0</x:v>
      </x:c>
      <x:c r="L86" s="28" t="n">
        <x:v>295.4</x:v>
      </x:c>
      <x:c r="M86" s="28" t="n">
        <x:f t="shared" si="6"/>
        <x:v>76.8</x:v>
      </x:c>
      <x:c r="N86" s="28" t="n">
        <x:f t="shared" si="7">(M86+H86)*A86</x:f>
        <x:v>0</x:v>
      </x:c>
      <x:c r="O86" s="28" t="n">
        <x:v>291.57</x:v>
      </x:c>
      <x:c r="P86" s="28" t="n">
        <x:f t="shared" si="8"/>
        <x:v>87.47</x:v>
      </x:c>
      <x:c r="Q86" s="28" t="n">
        <x:f t="shared" si="9">(P86+H86)*A86</x:f>
        <x:v>0</x:v>
      </x:c>
      <x:c r="R86" s="28" t="n">
        <x:f t="shared" si="24"/>
        <x:v>295.4</x:v>
      </x:c>
      <x:c r="S86" s="28" t="n">
        <x:f t="shared" si="11"/>
        <x:v>88.62</x:v>
      </x:c>
      <x:c r="T86" s="28" t="n">
        <x:f t="shared" si="12">(S86+H86)*A86</x:f>
        <x:v>0</x:v>
      </x:c>
      <x:c r="U86" s="28" t="n">
        <x:f t="shared" si="13"/>
        <x:v>295.4</x:v>
      </x:c>
      <x:c r="V86" s="28" t="n">
        <x:f t="shared" si="14"/>
        <x:v>88.62</x:v>
      </x:c>
      <x:c r="W86" s="28" t="n">
        <x:f t="shared" si="15">(V86+H86)*A86</x:f>
        <x:v>0</x:v>
      </x:c>
      <x:c r="X86" s="28"/>
      <x:c r="Y86" s="28" t="n">
        <x:f t="shared" si="16"/>
        <x:v>0</x:v>
      </x:c>
      <x:c r="Z86" s="28" t="n">
        <x:f t="shared" si="17">(Y86+H86)*A86</x:f>
        <x:v>0</x:v>
      </x:c>
      <x:c r="AA86" s="28" t="n">
        <x:v>317.95</x:v>
      </x:c>
      <x:c r="AB86" s="28" t="n">
        <x:f t="shared" si="18"/>
        <x:v>95.39</x:v>
      </x:c>
      <x:c r="AC86" s="28" t="n">
        <x:f t="shared" si="19">(AB86+H86)*A86</x:f>
        <x:v>0</x:v>
      </x:c>
      <x:c r="AD86" s="28" t="n">
        <x:v>357.34</x:v>
      </x:c>
      <x:c r="AE86" s="28" t="n">
        <x:f t="shared" si="20"/>
        <x:v>107.2</x:v>
      </x:c>
      <x:c r="AF86" s="29" t="n">
        <x:f t="shared" si="21">(AE86+H86)*A86</x:f>
        <x:v>0</x:v>
      </x:c>
    </x:row>
    <x:row r="87" ht="15.75" customHeight="1">
      <x:c r="A87" s="26"/>
      <x:c r="B87" s="27" t="s">
        <x:v>180</x:v>
      </x:c>
      <x:c r="C87" s="27" t="s">
        <x:v>181</x:v>
      </x:c>
      <x:c r="D87" s="28" t="n">
        <x:v>676.5</x:v>
      </x:c>
      <x:c r="E87" s="28" t="n">
        <x:f t="shared" si="1"/>
        <x:v>202.95</x:v>
      </x:c>
      <x:c r="F87" s="28" t="n">
        <x:f t="shared" si="2">E87*A87</x:f>
        <x:v>0</x:v>
      </x:c>
      <x:c r="G87" s="28" t="n">
        <x:v>388.13</x:v>
      </x:c>
      <x:c r="H87" s="28" t="n">
        <x:f t="shared" si="3"/>
        <x:v>116.44</x:v>
      </x:c>
      <x:c r="I87" s="28" t="n">
        <x:v>336.33</x:v>
      </x:c>
      <x:c r="J87" s="28" t="n">
        <x:f t="shared" si="4"/>
        <x:v>100.9</x:v>
      </x:c>
      <x:c r="K87" s="28" t="n">
        <x:f t="shared" si="5">(J87+H87)*A87</x:f>
        <x:v>0</x:v>
      </x:c>
      <x:c r="L87" s="28" t="n">
        <x:v>295.4</x:v>
      </x:c>
      <x:c r="M87" s="28" t="n">
        <x:f t="shared" si="6"/>
        <x:v>76.8</x:v>
      </x:c>
      <x:c r="N87" s="28" t="n">
        <x:f t="shared" si="7">(M87+H87)*A87</x:f>
        <x:v>0</x:v>
      </x:c>
      <x:c r="O87" s="28" t="n">
        <x:v>291.57</x:v>
      </x:c>
      <x:c r="P87" s="28" t="n">
        <x:f t="shared" si="8"/>
        <x:v>87.47</x:v>
      </x:c>
      <x:c r="Q87" s="28" t="n">
        <x:f t="shared" si="9">(P87+H87)*A87</x:f>
        <x:v>0</x:v>
      </x:c>
      <x:c r="R87" s="28" t="n">
        <x:f t="shared" si="24"/>
        <x:v>295.4</x:v>
      </x:c>
      <x:c r="S87" s="28" t="n">
        <x:f t="shared" si="11"/>
        <x:v>88.62</x:v>
      </x:c>
      <x:c r="T87" s="28" t="n">
        <x:f t="shared" si="12">(S87+H87)*A87</x:f>
        <x:v>0</x:v>
      </x:c>
      <x:c r="U87" s="28" t="n">
        <x:f t="shared" si="13"/>
        <x:v>295.4</x:v>
      </x:c>
      <x:c r="V87" s="28" t="n">
        <x:f t="shared" si="14"/>
        <x:v>88.62</x:v>
      </x:c>
      <x:c r="W87" s="28" t="n">
        <x:f t="shared" si="15">(V87+H87)*A87</x:f>
        <x:v>0</x:v>
      </x:c>
      <x:c r="X87" s="28"/>
      <x:c r="Y87" s="28" t="n">
        <x:f t="shared" si="16"/>
        <x:v>0</x:v>
      </x:c>
      <x:c r="Z87" s="28" t="n">
        <x:f t="shared" si="17">(Y87+H87)*A87</x:f>
        <x:v>0</x:v>
      </x:c>
      <x:c r="AA87" s="28" t="n">
        <x:v>317.95</x:v>
      </x:c>
      <x:c r="AB87" s="28" t="n">
        <x:f t="shared" si="18"/>
        <x:v>95.39</x:v>
      </x:c>
      <x:c r="AC87" s="28" t="n">
        <x:f t="shared" si="19">(AB87+H87)*A87</x:f>
        <x:v>0</x:v>
      </x:c>
      <x:c r="AD87" s="28" t="n">
        <x:v>357.34</x:v>
      </x:c>
      <x:c r="AE87" s="28" t="n">
        <x:f t="shared" si="20"/>
        <x:v>107.2</x:v>
      </x:c>
      <x:c r="AF87" s="29" t="n">
        <x:f t="shared" si="21">(AE87+H87)*A87</x:f>
        <x:v>0</x:v>
      </x:c>
    </x:row>
    <x:row r="88" ht="15.75" customHeight="1">
      <x:c r="A88" s="26"/>
      <x:c r="B88" s="27" t="s">
        <x:v>182</x:v>
      </x:c>
      <x:c r="C88" s="27" t="s">
        <x:v>183</x:v>
      </x:c>
      <x:c r="D88" s="28" t="n">
        <x:v>780.75</x:v>
      </x:c>
      <x:c r="E88" s="28" t="n">
        <x:f t="shared" si="1"/>
        <x:v>234.22</x:v>
      </x:c>
      <x:c r="F88" s="28" t="n">
        <x:f t="shared" si="2">E88*A88</x:f>
        <x:v>0</x:v>
      </x:c>
      <x:c r="G88" s="28" t="n">
        <x:v>448.71</x:v>
      </x:c>
      <x:c r="H88" s="28" t="n">
        <x:f t="shared" si="3"/>
        <x:v>134.61</x:v>
      </x:c>
      <x:c r="I88" s="28" t="n">
        <x:v>388.8</x:v>
      </x:c>
      <x:c r="J88" s="28" t="n">
        <x:f t="shared" si="4"/>
        <x:v>116.64</x:v>
      </x:c>
      <x:c r="K88" s="28" t="n">
        <x:f t="shared" si="5">(J88+H88)*A88</x:f>
        <x:v>0</x:v>
      </x:c>
      <x:c r="L88" s="28" t="n">
        <x:v>340.03</x:v>
      </x:c>
      <x:c r="M88" s="28" t="n">
        <x:f t="shared" si="6"/>
        <x:v>88.41</x:v>
      </x:c>
      <x:c r="N88" s="28" t="n">
        <x:f t="shared" si="7">(M88+H88)*A88</x:f>
        <x:v>0</x:v>
      </x:c>
      <x:c r="O88" s="28" t="n">
        <x:v>335.69</x:v>
      </x:c>
      <x:c r="P88" s="28" t="n">
        <x:f t="shared" si="8"/>
        <x:v>100.71</x:v>
      </x:c>
      <x:c r="Q88" s="28" t="n">
        <x:f t="shared" si="9">(P88+H88)*A88</x:f>
        <x:v>0</x:v>
      </x:c>
      <x:c r="R88" s="28" t="n">
        <x:f t="shared" si="24"/>
        <x:v>340.03</x:v>
      </x:c>
      <x:c r="S88" s="28" t="n">
        <x:f t="shared" si="11"/>
        <x:v>102.01</x:v>
      </x:c>
      <x:c r="T88" s="28" t="n">
        <x:f t="shared" si="12">(S88+H88)*A88</x:f>
        <x:v>0</x:v>
      </x:c>
      <x:c r="U88" s="28" t="n">
        <x:f t="shared" si="13"/>
        <x:v>340.03</x:v>
      </x:c>
      <x:c r="V88" s="28" t="n">
        <x:f t="shared" si="14"/>
        <x:v>102.01</x:v>
      </x:c>
      <x:c r="W88" s="28" t="n">
        <x:f t="shared" si="15">(V88+H88)*A88</x:f>
        <x:v>0</x:v>
      </x:c>
      <x:c r="X88" s="28"/>
      <x:c r="Y88" s="28" t="n">
        <x:f t="shared" si="16"/>
        <x:v>0</x:v>
      </x:c>
      <x:c r="Z88" s="28" t="n">
        <x:f t="shared" si="17">(Y88+H88)*A88</x:f>
        <x:v>0</x:v>
      </x:c>
      <x:c r="AA88" s="28" t="n">
        <x:v>355.59</x:v>
      </x:c>
      <x:c r="AB88" s="28" t="n">
        <x:f t="shared" si="18"/>
        <x:v>106.68</x:v>
      </x:c>
      <x:c r="AC88" s="28" t="n">
        <x:f t="shared" si="19">(AB88+H88)*A88</x:f>
        <x:v>0</x:v>
      </x:c>
      <x:c r="AD88" s="28" t="n">
        <x:v>410.87</x:v>
      </x:c>
      <x:c r="AE88" s="28" t="n">
        <x:f t="shared" si="20"/>
        <x:v>123.26</x:v>
      </x:c>
      <x:c r="AF88" s="29" t="n">
        <x:f t="shared" si="21">(AE88+H88)*A88</x:f>
        <x:v>0</x:v>
      </x:c>
    </x:row>
    <x:row r="89" ht="15.75" customHeight="1">
      <x:c r="A89" s="26"/>
      <x:c r="B89" s="27" t="s">
        <x:v>184</x:v>
      </x:c>
      <x:c r="C89" s="27" t="s">
        <x:v>185</x:v>
      </x:c>
      <x:c r="D89" s="28" t="n">
        <x:v>780.75</x:v>
      </x:c>
      <x:c r="E89" s="28" t="n">
        <x:f t="shared" si="1"/>
        <x:v>234.22</x:v>
      </x:c>
      <x:c r="F89" s="28" t="n">
        <x:f t="shared" si="2">E89*A89</x:f>
        <x:v>0</x:v>
      </x:c>
      <x:c r="G89" s="28" t="n">
        <x:v>448.71</x:v>
      </x:c>
      <x:c r="H89" s="28" t="n">
        <x:f t="shared" si="3"/>
        <x:v>134.61</x:v>
      </x:c>
      <x:c r="I89" s="28" t="n">
        <x:v>388.8</x:v>
      </x:c>
      <x:c r="J89" s="28" t="n">
        <x:f t="shared" si="4"/>
        <x:v>116.64</x:v>
      </x:c>
      <x:c r="K89" s="28" t="n">
        <x:f t="shared" si="5">(J89+H89)*A89</x:f>
        <x:v>0</x:v>
      </x:c>
      <x:c r="L89" s="28" t="n">
        <x:v>340.03</x:v>
      </x:c>
      <x:c r="M89" s="28" t="n">
        <x:f t="shared" si="6"/>
        <x:v>88.41</x:v>
      </x:c>
      <x:c r="N89" s="28" t="n">
        <x:f t="shared" si="7">(M89+H89)*A89</x:f>
        <x:v>0</x:v>
      </x:c>
      <x:c r="O89" s="28" t="n">
        <x:v>335.69</x:v>
      </x:c>
      <x:c r="P89" s="28" t="n">
        <x:f t="shared" si="8"/>
        <x:v>100.71</x:v>
      </x:c>
      <x:c r="Q89" s="28" t="n">
        <x:f t="shared" si="9">(P89+H89)*A89</x:f>
        <x:v>0</x:v>
      </x:c>
      <x:c r="R89" s="28" t="n">
        <x:f t="shared" si="24"/>
        <x:v>340.03</x:v>
      </x:c>
      <x:c r="S89" s="28" t="n">
        <x:f t="shared" si="11"/>
        <x:v>102.01</x:v>
      </x:c>
      <x:c r="T89" s="28" t="n">
        <x:f t="shared" si="12">(S89+H89)*A89</x:f>
        <x:v>0</x:v>
      </x:c>
      <x:c r="U89" s="28" t="n">
        <x:f t="shared" si="13"/>
        <x:v>340.03</x:v>
      </x:c>
      <x:c r="V89" s="28" t="n">
        <x:f t="shared" si="14"/>
        <x:v>102.01</x:v>
      </x:c>
      <x:c r="W89" s="28" t="n">
        <x:f t="shared" si="15">(V89+H89)*A89</x:f>
        <x:v>0</x:v>
      </x:c>
      <x:c r="X89" s="28"/>
      <x:c r="Y89" s="28" t="n">
        <x:f t="shared" si="16"/>
        <x:v>0</x:v>
      </x:c>
      <x:c r="Z89" s="28" t="n">
        <x:f t="shared" si="17">(Y89+H89)*A89</x:f>
        <x:v>0</x:v>
      </x:c>
      <x:c r="AA89" s="28" t="n">
        <x:v>355.59</x:v>
      </x:c>
      <x:c r="AB89" s="28" t="n">
        <x:f t="shared" si="18"/>
        <x:v>106.68</x:v>
      </x:c>
      <x:c r="AC89" s="28" t="n">
        <x:f t="shared" si="19">(AB89+H89)*A89</x:f>
        <x:v>0</x:v>
      </x:c>
      <x:c r="AD89" s="28" t="n">
        <x:v>410.87</x:v>
      </x:c>
      <x:c r="AE89" s="28" t="n">
        <x:f t="shared" si="20"/>
        <x:v>123.26</x:v>
      </x:c>
      <x:c r="AF89" s="29" t="n">
        <x:f t="shared" si="21">(AE89+H89)*A89</x:f>
        <x:v>0</x:v>
      </x:c>
    </x:row>
    <x:row r="90" ht="15.75" customHeight="1">
      <x:c r="A90" s="26"/>
      <x:c r="B90" s="27" t="s">
        <x:v>186</x:v>
      </x:c>
      <x:c r="C90" s="27" t="s">
        <x:v>187</x:v>
      </x:c>
      <x:c r="D90" s="28" t="n">
        <x:v>1127.35</x:v>
      </x:c>
      <x:c r="E90" s="28" t="n">
        <x:f t="shared" si="1"/>
        <x:v>338.21</x:v>
      </x:c>
      <x:c r="F90" s="28" t="n">
        <x:f t="shared" si="2">E90*A90</x:f>
        <x:v>0</x:v>
      </x:c>
      <x:c r="G90" s="28" t="n">
        <x:v>610.01</x:v>
      </x:c>
      <x:c r="H90" s="28" t="n">
        <x:f t="shared" si="3"/>
        <x:v>183</x:v>
      </x:c>
      <x:c r="I90" s="28" t="n">
        <x:v>597.46</x:v>
      </x:c>
      <x:c r="J90" s="28" t="n">
        <x:f t="shared" si="4"/>
        <x:v>179.24</x:v>
      </x:c>
      <x:c r="K90" s="28" t="n">
        <x:f t="shared" si="5">(J90+H90)*A90</x:f>
        <x:v>0</x:v>
      </x:c>
      <x:c r="L90" s="28" t="n">
        <x:v>528.96</x:v>
      </x:c>
      <x:c r="M90" s="28" t="n">
        <x:f t="shared" si="6"/>
        <x:v>137.53</x:v>
      </x:c>
      <x:c r="N90" s="28" t="n">
        <x:f t="shared" si="7">(M90+H90)*A90</x:f>
        <x:v>0</x:v>
      </x:c>
      <x:c r="O90" s="28" t="n">
        <x:v>522.14</x:v>
      </x:c>
      <x:c r="P90" s="28" t="n">
        <x:f t="shared" si="8"/>
        <x:v>156.64</x:v>
      </x:c>
      <x:c r="Q90" s="28" t="n">
        <x:f t="shared" si="9">(P90+H90)*A90</x:f>
        <x:v>0</x:v>
      </x:c>
      <x:c r="R90" s="28" t="n">
        <x:f t="shared" si="24"/>
        <x:v>528.96</x:v>
      </x:c>
      <x:c r="S90" s="28" t="n">
        <x:f t="shared" si="11"/>
        <x:v>158.69</x:v>
      </x:c>
      <x:c r="T90" s="28" t="n">
        <x:f t="shared" si="12">(S90+H90)*A90</x:f>
        <x:v>0</x:v>
      </x:c>
      <x:c r="U90" s="28" t="n">
        <x:f t="shared" si="13"/>
        <x:v>528.96</x:v>
      </x:c>
      <x:c r="V90" s="28" t="n">
        <x:f t="shared" si="14"/>
        <x:v>158.69</x:v>
      </x:c>
      <x:c r="W90" s="28" t="n">
        <x:f t="shared" si="15">(V90+H90)*A90</x:f>
        <x:v>0</x:v>
      </x:c>
      <x:c r="X90" s="28"/>
      <x:c r="Y90" s="28" t="n">
        <x:f t="shared" si="16"/>
        <x:v>0</x:v>
      </x:c>
      <x:c r="Z90" s="28" t="n">
        <x:f t="shared" si="17">(Y90+H90)*A90</x:f>
        <x:v>0</x:v>
      </x:c>
      <x:c r="AA90" s="28" t="n">
        <x:v>554.01</x:v>
      </x:c>
      <x:c r="AB90" s="28" t="n">
        <x:f t="shared" si="18"/>
        <x:v>166.2</x:v>
      </x:c>
      <x:c r="AC90" s="28" t="n">
        <x:f t="shared" si="19">(AB90+H90)*A90</x:f>
        <x:v>0</x:v>
      </x:c>
      <x:c r="AD90" s="28" t="n">
        <x:v>632.08</x:v>
      </x:c>
      <x:c r="AE90" s="28" t="n">
        <x:f t="shared" si="20"/>
        <x:v>189.62</x:v>
      </x:c>
      <x:c r="AF90" s="29" t="n">
        <x:f t="shared" si="21">(AE90+H90)*A90</x:f>
        <x:v>0</x:v>
      </x:c>
    </x:row>
    <x:row r="91" ht="15.75" customHeight="1">
      <x:c r="A91" s="26"/>
      <x:c r="B91" s="27" t="s">
        <x:v>188</x:v>
      </x:c>
      <x:c r="C91" s="27" t="s">
        <x:v>189</x:v>
      </x:c>
      <x:c r="D91" s="28" t="n">
        <x:v>1159.42</x:v>
      </x:c>
      <x:c r="E91" s="28" t="n">
        <x:f t="shared" si="1"/>
        <x:v>347.83</x:v>
      </x:c>
      <x:c r="F91" s="28" t="n">
        <x:f t="shared" si="2">E91*A91</x:f>
        <x:v>0</x:v>
      </x:c>
      <x:c r="G91" s="28" t="n">
        <x:v>626.48</x:v>
      </x:c>
      <x:c r="H91" s="28" t="n">
        <x:f t="shared" si="3"/>
        <x:v>187.95</x:v>
      </x:c>
      <x:c r="I91" s="28" t="n">
        <x:v>616.24</x:v>
      </x:c>
      <x:c r="J91" s="28" t="n">
        <x:f t="shared" si="4"/>
        <x:v>184.87</x:v>
      </x:c>
      <x:c r="K91" s="28" t="n">
        <x:f t="shared" si="5">(J91+H91)*A91</x:f>
        <x:v>0</x:v>
      </x:c>
      <x:c r="L91" s="28" t="n">
        <x:v>544.92</x:v>
      </x:c>
      <x:c r="M91" s="28" t="n">
        <x:f t="shared" si="6"/>
        <x:v>141.68</x:v>
      </x:c>
      <x:c r="N91" s="28" t="n">
        <x:f t="shared" si="7">(M91+H91)*A91</x:f>
        <x:v>0</x:v>
      </x:c>
      <x:c r="O91" s="28" t="n">
        <x:v>537.94</x:v>
      </x:c>
      <x:c r="P91" s="28" t="n">
        <x:f t="shared" si="8"/>
        <x:v>161.38</x:v>
      </x:c>
      <x:c r="Q91" s="28" t="n">
        <x:f t="shared" si="9">(P91+H91)*A91</x:f>
        <x:v>0</x:v>
      </x:c>
      <x:c r="R91" s="28" t="n">
        <x:f t="shared" si="24"/>
        <x:v>544.92</x:v>
      </x:c>
      <x:c r="S91" s="28" t="n">
        <x:f t="shared" si="11"/>
        <x:v>163.48</x:v>
      </x:c>
      <x:c r="T91" s="28" t="n">
        <x:f t="shared" si="12">(S91+H91)*A91</x:f>
        <x:v>0</x:v>
      </x:c>
      <x:c r="U91" s="28" t="n">
        <x:f t="shared" si="13"/>
        <x:v>544.92</x:v>
      </x:c>
      <x:c r="V91" s="28" t="n">
        <x:f t="shared" si="14"/>
        <x:v>163.48</x:v>
      </x:c>
      <x:c r="W91" s="28" t="n">
        <x:f t="shared" si="15">(V91+H91)*A91</x:f>
        <x:v>0</x:v>
      </x:c>
      <x:c r="X91" s="28"/>
      <x:c r="Y91" s="28" t="n">
        <x:f t="shared" si="16"/>
        <x:v>0</x:v>
      </x:c>
      <x:c r="Z91" s="28" t="n">
        <x:f t="shared" si="17">(Y91+H91)*A91</x:f>
        <x:v>0</x:v>
      </x:c>
      <x:c r="AA91" s="28" t="n">
        <x:v>567.95</x:v>
      </x:c>
      <x:c r="AB91" s="28" t="n">
        <x:f t="shared" si="18"/>
        <x:v>170.39</x:v>
      </x:c>
      <x:c r="AC91" s="28" t="n">
        <x:f t="shared" si="19">(AB91+H91)*A91</x:f>
        <x:v>0</x:v>
      </x:c>
      <x:c r="AD91" s="28" t="n">
        <x:v>650.33</x:v>
      </x:c>
      <x:c r="AE91" s="28" t="n">
        <x:f t="shared" si="20"/>
        <x:v>195.1</x:v>
      </x:c>
      <x:c r="AF91" s="29" t="n">
        <x:f t="shared" si="21">(AE91+H91)*A91</x:f>
        <x:v>0</x:v>
      </x:c>
    </x:row>
    <x:row r="92" ht="15.75" customHeight="1">
      <x:c r="A92" s="26"/>
      <x:c r="B92" s="27" t="s">
        <x:v>190</x:v>
      </x:c>
      <x:c r="C92" s="27" t="s">
        <x:v>191</x:v>
      </x:c>
      <x:c r="D92" s="28" t="n">
        <x:v>1045.3</x:v>
      </x:c>
      <x:c r="E92" s="28" t="n">
        <x:f t="shared" si="1"/>
        <x:v>313.59</x:v>
      </x:c>
      <x:c r="F92" s="28" t="n">
        <x:f t="shared" si="2">E92*A92</x:f>
        <x:v>0</x:v>
      </x:c>
      <x:c r="G92" s="28" t="n">
        <x:v>496.35</x:v>
      </x:c>
      <x:c r="H92" s="28" t="n">
        <x:f t="shared" si="3"/>
        <x:v>148.91</x:v>
      </x:c>
      <x:c r="I92" s="28" t="n">
        <x:v>622.96</x:v>
      </x:c>
      <x:c r="J92" s="28" t="n">
        <x:f t="shared" si="4"/>
        <x:v>186.89</x:v>
      </x:c>
      <x:c r="K92" s="28" t="n">
        <x:f t="shared" si="5">(J92+H92)*A92</x:f>
        <x:v>0</x:v>
      </x:c>
      <x:c r="L92" s="28" t="n">
        <x:v>559.93</x:v>
      </x:c>
      <x:c r="M92" s="28" t="n">
        <x:f t="shared" si="6"/>
        <x:v>145.58</x:v>
      </x:c>
      <x:c r="N92" s="28" t="n">
        <x:f t="shared" si="7">(M92+H92)*A92</x:f>
        <x:v>0</x:v>
      </x:c>
      <x:c r="O92" s="28" t="n">
        <x:v>552.75</x:v>
      </x:c>
      <x:c r="P92" s="28" t="n">
        <x:f t="shared" si="8"/>
        <x:v>165.83</x:v>
      </x:c>
      <x:c r="Q92" s="28" t="n">
        <x:f t="shared" si="9">(P92+H92)*A92</x:f>
        <x:v>0</x:v>
      </x:c>
      <x:c r="R92" s="28" t="n">
        <x:f t="shared" si="24"/>
        <x:v>559.93</x:v>
      </x:c>
      <x:c r="S92" s="28" t="n">
        <x:f t="shared" si="11"/>
        <x:v>167.98</x:v>
      </x:c>
      <x:c r="T92" s="28" t="n">
        <x:f t="shared" si="12">(S92+H92)*A92</x:f>
        <x:v>0</x:v>
      </x:c>
      <x:c r="U92" s="28" t="n">
        <x:f t="shared" si="13"/>
        <x:v>559.93</x:v>
      </x:c>
      <x:c r="V92" s="28" t="n">
        <x:f t="shared" si="14"/>
        <x:v>167.98</x:v>
      </x:c>
      <x:c r="W92" s="28" t="n">
        <x:f t="shared" si="15">(V92+H92)*A92</x:f>
        <x:v>0</x:v>
      </x:c>
      <x:c r="X92" s="28"/>
      <x:c r="Y92" s="28" t="n">
        <x:f t="shared" si="16"/>
        <x:v>0</x:v>
      </x:c>
      <x:c r="Z92" s="28" t="n">
        <x:f t="shared" si="17">(Y92+H92)*A92</x:f>
        <x:v>0</x:v>
      </x:c>
      <x:c r="AA92" s="28" t="n">
        <x:v>587.93</x:v>
      </x:c>
      <x:c r="AB92" s="28" t="n">
        <x:f t="shared" si="18"/>
        <x:v>176.38</x:v>
      </x:c>
      <x:c r="AC92" s="28" t="n">
        <x:f t="shared" si="19">(AB92+H92)*A92</x:f>
        <x:v>0</x:v>
      </x:c>
      <x:c r="AD92" s="28" t="n">
        <x:v>654.57</x:v>
      </x:c>
      <x:c r="AE92" s="28" t="n">
        <x:f t="shared" si="20"/>
        <x:v>196.37</x:v>
      </x:c>
      <x:c r="AF92" s="29" t="n">
        <x:f t="shared" si="21">(AE92+H92)*A92</x:f>
        <x:v>0</x:v>
      </x:c>
    </x:row>
    <x:row r="93" ht="15.75" customHeight="1">
      <x:c r="A93" s="26"/>
      <x:c r="B93" s="27" t="s">
        <x:v>192</x:v>
      </x:c>
      <x:c r="C93" s="27" t="s">
        <x:v>193</x:v>
      </x:c>
      <x:c r="D93" s="28" t="n">
        <x:v>1262</x:v>
      </x:c>
      <x:c r="E93" s="28" t="n">
        <x:f t="shared" si="1"/>
        <x:v>378.6</x:v>
      </x:c>
      <x:c r="F93" s="28" t="n">
        <x:f t="shared" si="2">E93*A93</x:f>
        <x:v>0</x:v>
      </x:c>
      <x:c r="G93" s="28" t="n">
        <x:v>658.17</x:v>
      </x:c>
      <x:c r="H93" s="28" t="n">
        <x:f t="shared" si="3"/>
        <x:v>197.45</x:v>
      </x:c>
      <x:c r="I93" s="28" t="n">
        <x:v>693.86</x:v>
      </x:c>
      <x:c r="J93" s="28" t="n">
        <x:f t="shared" si="4"/>
        <x:v>208.16</x:v>
      </x:c>
      <x:c r="K93" s="28" t="n">
        <x:f t="shared" si="5">(J93+H93)*A93</x:f>
        <x:v>0</x:v>
      </x:c>
      <x:c r="L93" s="28" t="n">
        <x:v>617.92</x:v>
      </x:c>
      <x:c r="M93" s="28" t="n">
        <x:f t="shared" si="6"/>
        <x:v>160.66</x:v>
      </x:c>
      <x:c r="N93" s="28" t="n">
        <x:f t="shared" si="7">(M93+H93)*A93</x:f>
        <x:v>0</x:v>
      </x:c>
      <x:c r="O93" s="28"/>
      <x:c r="P93" s="28" t="n">
        <x:f t="shared" si="8"/>
        <x:v>0</x:v>
      </x:c>
      <x:c r="Q93" s="28" t="n">
        <x:f t="shared" si="9">(P93+H93)*A93</x:f>
        <x:v>0</x:v>
      </x:c>
      <x:c r="R93" s="28" t="n">
        <x:f t="shared" si="24"/>
        <x:v>617.92</x:v>
      </x:c>
      <x:c r="S93" s="28" t="n">
        <x:f t="shared" si="11"/>
        <x:v>185.38</x:v>
      </x:c>
      <x:c r="T93" s="28" t="n">
        <x:f t="shared" si="12">(S93+H93)*A93</x:f>
        <x:v>0</x:v>
      </x:c>
      <x:c r="U93" s="28" t="n">
        <x:f t="shared" si="13"/>
        <x:v>617.92</x:v>
      </x:c>
      <x:c r="V93" s="28" t="n">
        <x:f t="shared" si="14"/>
        <x:v>185.38</x:v>
      </x:c>
      <x:c r="W93" s="28" t="n">
        <x:f t="shared" si="15">(V93+H93)*A93</x:f>
        <x:v>0</x:v>
      </x:c>
      <x:c r="X93" s="28"/>
      <x:c r="Y93" s="28" t="n">
        <x:f t="shared" si="16"/>
        <x:v>0</x:v>
      </x:c>
      <x:c r="Z93" s="28" t="n">
        <x:f t="shared" si="17">(Y93+H93)*A93</x:f>
        <x:v>0</x:v>
      </x:c>
      <x:c r="AA93" s="28"/>
      <x:c r="AB93" s="28" t="n">
        <x:f t="shared" si="18"/>
        <x:v>0</x:v>
      </x:c>
      <x:c r="AC93" s="28" t="n">
        <x:f t="shared" si="19">(AB93+H93)*A93</x:f>
        <x:v>0</x:v>
      </x:c>
      <x:c r="AD93" s="28"/>
      <x:c r="AE93" s="28" t="n">
        <x:f t="shared" si="20"/>
        <x:v>0</x:v>
      </x:c>
      <x:c r="AF93" s="29" t="n">
        <x:f t="shared" si="21">(AE93+H93)*A93</x:f>
        <x:v>0</x:v>
      </x:c>
    </x:row>
    <x:row r="94" ht="15.75" customHeight="1">
      <x:c r="A94" s="26"/>
      <x:c r="B94" s="27" t="s">
        <x:v>194</x:v>
      </x:c>
      <x:c r="C94" s="27" t="s">
        <x:v>195</x:v>
      </x:c>
      <x:c r="D94" s="28" t="n">
        <x:v>482.86</x:v>
      </x:c>
      <x:c r="E94" s="28" t="n">
        <x:f t="shared" si="1"/>
        <x:v>144.86</x:v>
      </x:c>
      <x:c r="F94" s="28" t="n">
        <x:f t="shared" si="2">E94*A94</x:f>
        <x:v>0</x:v>
      </x:c>
      <x:c r="G94" s="28" t="n">
        <x:v>276.69</x:v>
      </x:c>
      <x:c r="H94" s="28" t="n">
        <x:f t="shared" si="3"/>
        <x:v>83.01</x:v>
      </x:c>
      <x:c r="I94" s="28" t="n">
        <x:v>241.66</x:v>
      </x:c>
      <x:c r="J94" s="28" t="n">
        <x:f t="shared" si="4"/>
        <x:v>72.5</x:v>
      </x:c>
      <x:c r="K94" s="28" t="n">
        <x:f t="shared" si="5">(J94+H94)*A94</x:f>
        <x:v>0</x:v>
      </x:c>
      <x:c r="L94" s="28" t="n">
        <x:v>212.35</x:v>
      </x:c>
      <x:c r="M94" s="28" t="n">
        <x:f t="shared" si="6"/>
        <x:v>55.21</x:v>
      </x:c>
      <x:c r="N94" s="28" t="n">
        <x:f t="shared" si="7">(M94+H94)*A94</x:f>
        <x:v>0</x:v>
      </x:c>
      <x:c r="O94" s="28" t="n">
        <x:v>199.32</x:v>
      </x:c>
      <x:c r="P94" s="28" t="n">
        <x:f t="shared" si="8"/>
        <x:v>59.8</x:v>
      </x:c>
      <x:c r="Q94" s="28" t="n">
        <x:f t="shared" si="9">(P94+H94)*A94</x:f>
        <x:v>0</x:v>
      </x:c>
      <x:c r="R94" s="28" t="n">
        <x:f t="shared" si="24"/>
        <x:v>212.35</x:v>
      </x:c>
      <x:c r="S94" s="28" t="n">
        <x:f t="shared" si="11"/>
        <x:v>63.7</x:v>
      </x:c>
      <x:c r="T94" s="28" t="n">
        <x:f t="shared" si="12">(S94+H94)*A94</x:f>
        <x:v>0</x:v>
      </x:c>
      <x:c r="U94" s="28" t="n">
        <x:f t="shared" si="13"/>
        <x:v>212.35</x:v>
      </x:c>
      <x:c r="V94" s="28" t="n">
        <x:f t="shared" si="14"/>
        <x:v>63.7</x:v>
      </x:c>
      <x:c r="W94" s="28" t="n">
        <x:f t="shared" si="15">(V94+H94)*A94</x:f>
        <x:v>0</x:v>
      </x:c>
      <x:c r="X94" s="28" t="n">
        <x:v>228.36</x:v>
      </x:c>
      <x:c r="Y94" s="28" t="n">
        <x:f t="shared" si="16"/>
        <x:v>68.51</x:v>
      </x:c>
      <x:c r="Z94" s="28" t="n">
        <x:f t="shared" si="17">(Y94+H94)*A94</x:f>
        <x:v>0</x:v>
      </x:c>
      <x:c r="AA94" s="28" t="n">
        <x:v>220.89</x:v>
      </x:c>
      <x:c r="AB94" s="28" t="n">
        <x:f t="shared" si="18"/>
        <x:v>66.27</x:v>
      </x:c>
      <x:c r="AC94" s="28" t="n">
        <x:f t="shared" si="19">(AB94+H94)*A94</x:f>
        <x:v>0</x:v>
      </x:c>
      <x:c r="AD94" s="28" t="n">
        <x:v>256.22</x:v>
      </x:c>
      <x:c r="AE94" s="28" t="n">
        <x:f t="shared" si="20"/>
        <x:v>76.87</x:v>
      </x:c>
      <x:c r="AF94" s="29" t="n">
        <x:f t="shared" si="21">(AE94+H94)*A94</x:f>
        <x:v>0</x:v>
      </x:c>
    </x:row>
    <x:row r="95" ht="15.75" customHeight="1">
      <x:c r="A95" s="26"/>
      <x:c r="B95" s="27" t="s">
        <x:v>196</x:v>
      </x:c>
      <x:c r="C95" s="27" t="s">
        <x:v>197</x:v>
      </x:c>
      <x:c r="D95" s="28" t="n">
        <x:v>517.49</x:v>
      </x:c>
      <x:c r="E95" s="28" t="n">
        <x:f t="shared" si="1"/>
        <x:v>155.25</x:v>
      </x:c>
      <x:c r="F95" s="28" t="n">
        <x:f t="shared" si="2">E95*A95</x:f>
        <x:v>0</x:v>
      </x:c>
      <x:c r="G95" s="28" t="n">
        <x:v>303.12</x:v>
      </x:c>
      <x:c r="H95" s="28" t="n">
        <x:f t="shared" si="3"/>
        <x:v>90.94</x:v>
      </x:c>
      <x:c r="I95" s="28" t="n">
        <x:v>251.73</x:v>
      </x:c>
      <x:c r="J95" s="28" t="n">
        <x:f t="shared" si="4"/>
        <x:v>75.52</x:v>
      </x:c>
      <x:c r="K95" s="28" t="n">
        <x:f t="shared" si="5">(J95+H95)*A95</x:f>
        <x:v>0</x:v>
      </x:c>
      <x:c r="L95" s="28" t="n">
        <x:v>219.73</x:v>
      </x:c>
      <x:c r="M95" s="28" t="n">
        <x:f t="shared" si="6"/>
        <x:v>57.13</x:v>
      </x:c>
      <x:c r="N95" s="28" t="n">
        <x:f t="shared" si="7">(M95+H95)*A95</x:f>
        <x:v>0</x:v>
      </x:c>
      <x:c r="O95" s="28" t="n">
        <x:v>200.39</x:v>
      </x:c>
      <x:c r="P95" s="28" t="n">
        <x:f t="shared" si="8"/>
        <x:v>60.12</x:v>
      </x:c>
      <x:c r="Q95" s="28" t="n">
        <x:f t="shared" si="9">(P95+H95)*A95</x:f>
        <x:v>0</x:v>
      </x:c>
      <x:c r="R95" s="28" t="n">
        <x:f t="shared" si="24"/>
        <x:v>219.73</x:v>
      </x:c>
      <x:c r="S95" s="28" t="n">
        <x:f t="shared" si="11"/>
        <x:v>65.92</x:v>
      </x:c>
      <x:c r="T95" s="28" t="n">
        <x:f t="shared" si="12">(S95+H95)*A95</x:f>
        <x:v>0</x:v>
      </x:c>
      <x:c r="U95" s="28" t="n">
        <x:f t="shared" si="13"/>
        <x:v>219.73</x:v>
      </x:c>
      <x:c r="V95" s="28" t="n">
        <x:f t="shared" si="14"/>
        <x:v>65.92</x:v>
      </x:c>
      <x:c r="W95" s="28" t="n">
        <x:f t="shared" si="15">(V95+H95)*A95</x:f>
        <x:v>0</x:v>
      </x:c>
      <x:c r="X95" s="28" t="n">
        <x:v>270.75</x:v>
      </x:c>
      <x:c r="Y95" s="28" t="n">
        <x:f t="shared" si="16"/>
        <x:v>81.23</x:v>
      </x:c>
      <x:c r="Z95" s="28" t="n">
        <x:f t="shared" si="17">(Y95+H95)*A95</x:f>
        <x:v>0</x:v>
      </x:c>
      <x:c r="AA95" s="28" t="n">
        <x:v>230.33</x:v>
      </x:c>
      <x:c r="AB95" s="28" t="n">
        <x:f t="shared" si="18"/>
        <x:v>69.1</x:v>
      </x:c>
      <x:c r="AC95" s="28" t="n">
        <x:f t="shared" si="19">(AB95+H95)*A95</x:f>
        <x:v>0</x:v>
      </x:c>
      <x:c r="AD95" s="28" t="n">
        <x:v>268.17</x:v>
      </x:c>
      <x:c r="AE95" s="28" t="n">
        <x:f t="shared" si="20"/>
        <x:v>80.45</x:v>
      </x:c>
      <x:c r="AF95" s="29" t="n">
        <x:f t="shared" si="21">(AE95+H95)*A95</x:f>
        <x:v>0</x:v>
      </x:c>
    </x:row>
    <x:row r="96" ht="15.75" customHeight="1">
      <x:c r="A96" s="26"/>
      <x:c r="B96" s="27" t="s">
        <x:v>198</x:v>
      </x:c>
      <x:c r="C96" s="27" t="s">
        <x:v>199</x:v>
      </x:c>
      <x:c r="D96" s="28" t="n">
        <x:v>560.36</x:v>
      </x:c>
      <x:c r="E96" s="28" t="n">
        <x:f t="shared" si="1"/>
        <x:v>168.11</x:v>
      </x:c>
      <x:c r="F96" s="28" t="n">
        <x:f t="shared" si="2">E96*A96</x:f>
        <x:v>0</x:v>
      </x:c>
      <x:c r="G96" s="28" t="n">
        <x:v>345.87</x:v>
      </x:c>
      <x:c r="H96" s="28" t="n">
        <x:f t="shared" si="3"/>
        <x:v>103.76</x:v>
      </x:c>
      <x:c r="I96" s="28" t="n">
        <x:v>255.62</x:v>
      </x:c>
      <x:c r="J96" s="28" t="n">
        <x:f t="shared" si="4"/>
        <x:v>76.69</x:v>
      </x:c>
      <x:c r="K96" s="28" t="n">
        <x:f t="shared" si="5">(J96+H96)*A96</x:f>
        <x:v>0</x:v>
      </x:c>
      <x:c r="L96" s="28" t="n">
        <x:v>220.8</x:v>
      </x:c>
      <x:c r="M96" s="28" t="n">
        <x:f t="shared" si="6"/>
        <x:v>57.41</x:v>
      </x:c>
      <x:c r="N96" s="28" t="n">
        <x:f t="shared" si="7">(M96+H96)*A96</x:f>
        <x:v>0</x:v>
      </x:c>
      <x:c r="O96" s="28" t="n">
        <x:v>206.31</x:v>
      </x:c>
      <x:c r="P96" s="28" t="n">
        <x:f t="shared" si="8"/>
        <x:v>61.89</x:v>
      </x:c>
      <x:c r="Q96" s="28" t="n">
        <x:f t="shared" si="9">(P96+H96)*A96</x:f>
        <x:v>0</x:v>
      </x:c>
      <x:c r="R96" s="28" t="n">
        <x:f t="shared" si="24"/>
        <x:v>220.8</x:v>
      </x:c>
      <x:c r="S96" s="28" t="n">
        <x:f t="shared" si="11"/>
        <x:v>66.24</x:v>
      </x:c>
      <x:c r="T96" s="28" t="n">
        <x:f t="shared" si="12">(S96+H96)*A96</x:f>
        <x:v>0</x:v>
      </x:c>
      <x:c r="U96" s="28" t="n">
        <x:f t="shared" si="13"/>
        <x:v>220.8</x:v>
      </x:c>
      <x:c r="V96" s="28" t="n">
        <x:f t="shared" si="14"/>
        <x:v>66.24</x:v>
      </x:c>
      <x:c r="W96" s="28" t="n">
        <x:f t="shared" si="15">(V96+H96)*A96</x:f>
        <x:v>0</x:v>
      </x:c>
      <x:c r="X96" s="28" t="n">
        <x:v>313.16</x:v>
      </x:c>
      <x:c r="Y96" s="28" t="n">
        <x:f t="shared" si="16"/>
        <x:v>93.95</x:v>
      </x:c>
      <x:c r="Z96" s="28" t="n">
        <x:f t="shared" si="17">(Y96+H96)*A96</x:f>
        <x:v>0</x:v>
      </x:c>
      <x:c r="AA96" s="28" t="n">
        <x:v>233.62</x:v>
      </x:c>
      <x:c r="AB96" s="28" t="n">
        <x:f t="shared" si="18"/>
        <x:v>70.09</x:v>
      </x:c>
      <x:c r="AC96" s="28" t="n">
        <x:f t="shared" si="19">(AB96+H96)*A96</x:f>
        <x:v>0</x:v>
      </x:c>
      <x:c r="AD96" s="28" t="n">
        <x:v>271.93</x:v>
      </x:c>
      <x:c r="AE96" s="28" t="n">
        <x:f t="shared" si="20"/>
        <x:v>81.58</x:v>
      </x:c>
      <x:c r="AF96" s="29" t="n">
        <x:f t="shared" si="21">(AE96+H96)*A96</x:f>
        <x:v>0</x:v>
      </x:c>
    </x:row>
    <x:row r="97" ht="15.75" customHeight="1">
      <x:c r="A97" s="26"/>
      <x:c r="B97" s="27" t="s">
        <x:v>200</x:v>
      </x:c>
      <x:c r="C97" s="27" t="s">
        <x:v>201</x:v>
      </x:c>
      <x:c r="D97" s="28" t="n">
        <x:v>605.04</x:v>
      </x:c>
      <x:c r="E97" s="28" t="n">
        <x:f t="shared" si="1"/>
        <x:v>181.51</x:v>
      </x:c>
      <x:c r="F97" s="28" t="n">
        <x:f t="shared" si="2">E97*A97</x:f>
        <x:v>0</x:v>
      </x:c>
      <x:c r="G97" s="28" t="n">
        <x:v>383.16</x:v>
      </x:c>
      <x:c r="H97" s="28" t="n">
        <x:f t="shared" si="3"/>
        <x:v>114.95</x:v>
      </x:c>
      <x:c r="I97" s="28" t="n">
        <x:v>264.82</x:v>
      </x:c>
      <x:c r="J97" s="28" t="n">
        <x:f t="shared" si="4"/>
        <x:v>79.45</x:v>
      </x:c>
      <x:c r="K97" s="28" t="n">
        <x:f t="shared" si="5">(J97+H97)*A97</x:f>
        <x:v>0</x:v>
      </x:c>
      <x:c r="L97" s="28" t="n">
        <x:v>228.18</x:v>
      </x:c>
      <x:c r="M97" s="28" t="n">
        <x:f t="shared" si="6"/>
        <x:v>59.33</x:v>
      </x:c>
      <x:c r="N97" s="28" t="n">
        <x:f t="shared" si="7">(M97+H97)*A97</x:f>
        <x:v>0</x:v>
      </x:c>
      <x:c r="O97" s="28" t="n">
        <x:v>213.3</x:v>
      </x:c>
      <x:c r="P97" s="28" t="n">
        <x:f t="shared" si="8"/>
        <x:v>63.99</x:v>
      </x:c>
      <x:c r="Q97" s="28" t="n">
        <x:f t="shared" si="9">(P97+H97)*A97</x:f>
        <x:v>0</x:v>
      </x:c>
      <x:c r="R97" s="28" t="n">
        <x:f t="shared" si="24"/>
        <x:v>228.18</x:v>
      </x:c>
      <x:c r="S97" s="28" t="n">
        <x:f t="shared" si="11"/>
        <x:v>68.46</x:v>
      </x:c>
      <x:c r="T97" s="28" t="n">
        <x:f t="shared" si="12">(S97+H97)*A97</x:f>
        <x:v>0</x:v>
      </x:c>
      <x:c r="U97" s="28" t="n">
        <x:f t="shared" si="13"/>
        <x:v>228.18</x:v>
      </x:c>
      <x:c r="V97" s="28" t="n">
        <x:f t="shared" si="14"/>
        <x:v>68.46</x:v>
      </x:c>
      <x:c r="W97" s="28" t="n">
        <x:f t="shared" si="15">(V97+H97)*A97</x:f>
        <x:v>0</x:v>
      </x:c>
      <x:c r="X97" s="28" t="n">
        <x:v>355.55</x:v>
      </x:c>
      <x:c r="Y97" s="28" t="n">
        <x:f t="shared" si="16"/>
        <x:v>106.67</x:v>
      </x:c>
      <x:c r="Z97" s="28" t="n">
        <x:f t="shared" si="17">(Y97+H97)*A97</x:f>
        <x:v>0</x:v>
      </x:c>
      <x:c r="AA97" s="28" t="n">
        <x:v>237.17</x:v>
      </x:c>
      <x:c r="AB97" s="28" t="n">
        <x:f t="shared" si="18"/>
        <x:v>71.15</x:v>
      </x:c>
      <x:c r="AC97" s="28" t="n">
        <x:f t="shared" si="19">(AB97+H97)*A97</x:f>
        <x:v>0</x:v>
      </x:c>
      <x:c r="AD97" s="28" t="n">
        <x:v>283.13</x:v>
      </x:c>
      <x:c r="AE97" s="28" t="n">
        <x:f t="shared" si="20"/>
        <x:v>84.94</x:v>
      </x:c>
      <x:c r="AF97" s="29" t="n">
        <x:f t="shared" si="21">(AE97+H97)*A97</x:f>
        <x:v>0</x:v>
      </x:c>
    </x:row>
    <x:row r="98" ht="15.75" customHeight="1">
      <x:c r="A98" s="26"/>
      <x:c r="B98" s="27" t="s">
        <x:v>202</x:v>
      </x:c>
      <x:c r="C98" s="27" t="s">
        <x:v>203</x:v>
      </x:c>
      <x:c r="D98" s="28" t="n">
        <x:v>649.59</x:v>
      </x:c>
      <x:c r="E98" s="28" t="n">
        <x:f t="shared" si="1"/>
        <x:v>194.88</x:v>
      </x:c>
      <x:c r="F98" s="28" t="n">
        <x:f t="shared" si="2">E98*A98</x:f>
        <x:v>0</x:v>
      </x:c>
      <x:c r="G98" s="28" t="n">
        <x:v>423.49</x:v>
      </x:c>
      <x:c r="H98" s="28" t="n">
        <x:f t="shared" si="3"/>
        <x:v>127.05</x:v>
      </x:c>
      <x:c r="I98" s="28" t="n">
        <x:v>272.46</x:v>
      </x:c>
      <x:c r="J98" s="28" t="n">
        <x:f t="shared" si="4"/>
        <x:v>81.74</x:v>
      </x:c>
      <x:c r="K98" s="28" t="n">
        <x:f t="shared" si="5">(J98+H98)*A98</x:f>
        <x:v>0</x:v>
      </x:c>
      <x:c r="L98" s="28" t="n">
        <x:v>233.82</x:v>
      </x:c>
      <x:c r="M98" s="28" t="n">
        <x:f t="shared" si="6"/>
        <x:v>60.79</x:v>
      </x:c>
      <x:c r="N98" s="28" t="n">
        <x:f t="shared" si="7">(M98+H98)*A98</x:f>
        <x:v>0</x:v>
      </x:c>
      <x:c r="O98" s="28" t="n">
        <x:v>217.58</x:v>
      </x:c>
      <x:c r="P98" s="28" t="n">
        <x:f t="shared" si="8"/>
        <x:v>65.27</x:v>
      </x:c>
      <x:c r="Q98" s="28" t="n">
        <x:f t="shared" si="9">(P98+H98)*A98</x:f>
        <x:v>0</x:v>
      </x:c>
      <x:c r="R98" s="28" t="n">
        <x:f t="shared" si="24"/>
        <x:v>233.82</x:v>
      </x:c>
      <x:c r="S98" s="28" t="n">
        <x:f t="shared" si="11"/>
        <x:v>70.15</x:v>
      </x:c>
      <x:c r="T98" s="28" t="n">
        <x:f t="shared" si="12">(S98+H98)*A98</x:f>
        <x:v>0</x:v>
      </x:c>
      <x:c r="U98" s="28" t="n">
        <x:f t="shared" si="13"/>
        <x:v>233.82</x:v>
      </x:c>
      <x:c r="V98" s="28" t="n">
        <x:f t="shared" si="14"/>
        <x:v>70.15</x:v>
      </x:c>
      <x:c r="W98" s="28" t="n">
        <x:f t="shared" si="15">(V98+H98)*A98</x:f>
        <x:v>0</x:v>
      </x:c>
      <x:c r="X98" s="28" t="n">
        <x:v>398.51</x:v>
      </x:c>
      <x:c r="Y98" s="28" t="n">
        <x:f t="shared" si="16"/>
        <x:v>119.55</x:v>
      </x:c>
      <x:c r="Z98" s="28" t="n">
        <x:f t="shared" si="17">(Y98+H98)*A98</x:f>
        <x:v>0</x:v>
      </x:c>
      <x:c r="AA98" s="28" t="n">
        <x:v>239.05</x:v>
      </x:c>
      <x:c r="AB98" s="28" t="n">
        <x:f t="shared" si="18"/>
        <x:v>71.72</x:v>
      </x:c>
      <x:c r="AC98" s="28" t="n">
        <x:f t="shared" si="19">(AB98+H98)*A98</x:f>
        <x:v>0</x:v>
      </x:c>
      <x:c r="AD98" s="28" t="n">
        <x:v>292.73</x:v>
      </x:c>
      <x:c r="AE98" s="28" t="n">
        <x:f t="shared" si="20"/>
        <x:v>87.82</x:v>
      </x:c>
      <x:c r="AF98" s="29" t="n">
        <x:f t="shared" si="21">(AE98+H98)*A98</x:f>
        <x:v>0</x:v>
      </x:c>
    </x:row>
    <x:row r="99" ht="15.75" customHeight="1">
      <x:c r="A99" s="26"/>
      <x:c r="B99" s="27" t="s">
        <x:v>204</x:v>
      </x:c>
      <x:c r="C99" s="27" t="s">
        <x:v>205</x:v>
      </x:c>
      <x:c r="D99" s="28" t="n">
        <x:v>716.94</x:v>
      </x:c>
      <x:c r="E99" s="28" t="n">
        <x:f t="shared" si="1"/>
        <x:v>215.08</x:v>
      </x:c>
      <x:c r="F99" s="28" t="n">
        <x:f t="shared" si="2">E99*A99</x:f>
        <x:v>0</x:v>
      </x:c>
      <x:c r="G99" s="28" t="n">
        <x:v>487.55</x:v>
      </x:c>
      <x:c r="H99" s="28" t="n">
        <x:f t="shared" si="3"/>
        <x:v>146.27</x:v>
      </x:c>
      <x:c r="I99" s="28" t="n">
        <x:v>280.64</x:v>
      </x:c>
      <x:c r="J99" s="28" t="n">
        <x:f t="shared" si="4"/>
        <x:v>84.19</x:v>
      </x:c>
      <x:c r="K99" s="28" t="n">
        <x:f t="shared" si="5">(J99+H99)*A99</x:f>
        <x:v>0</x:v>
      </x:c>
      <x:c r="L99" s="28" t="n">
        <x:v>238.37</x:v>
      </x:c>
      <x:c r="M99" s="28" t="n">
        <x:f t="shared" si="6"/>
        <x:v>61.98</x:v>
      </x:c>
      <x:c r="N99" s="28" t="n">
        <x:f t="shared" si="7">(M99+H99)*A99</x:f>
        <x:v>0</x:v>
      </x:c>
      <x:c r="O99" s="28"/>
      <x:c r="P99" s="28" t="n">
        <x:f t="shared" si="8"/>
        <x:v>0</x:v>
      </x:c>
      <x:c r="Q99" s="28" t="n">
        <x:f t="shared" si="9">(P99+H99)*A99</x:f>
        <x:v>0</x:v>
      </x:c>
      <x:c r="R99" s="28" t="n">
        <x:f t="shared" si="24"/>
        <x:v>238.37</x:v>
      </x:c>
      <x:c r="S99" s="28" t="n">
        <x:f t="shared" si="11"/>
        <x:v>71.51</x:v>
      </x:c>
      <x:c r="T99" s="28" t="n">
        <x:f t="shared" si="12">(S99+H99)*A99</x:f>
        <x:v>0</x:v>
      </x:c>
      <x:c r="U99" s="28" t="n">
        <x:f t="shared" si="13"/>
        <x:v>238.37</x:v>
      </x:c>
      <x:c r="V99" s="28" t="n">
        <x:f t="shared" si="14"/>
        <x:v>71.51</x:v>
      </x:c>
      <x:c r="W99" s="28" t="n">
        <x:f t="shared" si="15">(V99+H99)*A99</x:f>
        <x:v>0</x:v>
      </x:c>
      <x:c r="X99" s="28" t="n">
        <x:v>440.92</x:v>
      </x:c>
      <x:c r="Y99" s="28" t="n">
        <x:f t="shared" si="16"/>
        <x:v>132.28</x:v>
      </x:c>
      <x:c r="Z99" s="28" t="n">
        <x:f t="shared" si="17">(Y99+H99)*A99</x:f>
        <x:v>0</x:v>
      </x:c>
      <x:c r="AA99" s="28"/>
      <x:c r="AB99" s="28" t="n">
        <x:f t="shared" si="18"/>
        <x:v>0</x:v>
      </x:c>
      <x:c r="AC99" s="28" t="n">
        <x:f t="shared" si="19">(AB99+H99)*A99</x:f>
        <x:v>0</x:v>
      </x:c>
      <x:c r="AD99" s="28"/>
      <x:c r="AE99" s="28" t="n">
        <x:f t="shared" si="20"/>
        <x:v>0</x:v>
      </x:c>
      <x:c r="AF99" s="29" t="n">
        <x:f t="shared" si="21">(AE99+H99)*A99</x:f>
        <x:v>0</x:v>
      </x:c>
    </x:row>
    <x:row r="100" ht="15.75" customHeight="1">
      <x:c r="A100" s="26"/>
      <x:c r="B100" s="27" t="s">
        <x:v>206</x:v>
      </x:c>
      <x:c r="C100" s="27" t="s">
        <x:v>207</x:v>
      </x:c>
      <x:c r="D100" s="28" t="n">
        <x:v>762.7</x:v>
      </x:c>
      <x:c r="E100" s="28" t="n">
        <x:f t="shared" si="1"/>
        <x:v>228.81</x:v>
      </x:c>
      <x:c r="F100" s="28" t="n">
        <x:f t="shared" si="2">E100*A100</x:f>
        <x:v>0</x:v>
      </x:c>
      <x:c r="G100" s="28" t="n">
        <x:v>519.7</x:v>
      </x:c>
      <x:c r="H100" s="28" t="n">
        <x:f t="shared" si="3"/>
        <x:v>155.91</x:v>
      </x:c>
      <x:c r="I100" s="28" t="n">
        <x:v>296.88</x:v>
      </x:c>
      <x:c r="J100" s="28" t="n">
        <x:f t="shared" si="4"/>
        <x:v>89.06</x:v>
      </x:c>
      <x:c r="K100" s="28" t="n">
        <x:f t="shared" si="5">(J100+H100)*A100</x:f>
        <x:v>0</x:v>
      </x:c>
      <x:c r="L100" s="28" t="n">
        <x:v>251.6</x:v>
      </x:c>
      <x:c r="M100" s="28" t="n">
        <x:f t="shared" si="6"/>
        <x:v>65.42</x:v>
      </x:c>
      <x:c r="N100" s="28" t="n">
        <x:f t="shared" si="7">(M100+H100)*A100</x:f>
        <x:v>0</x:v>
      </x:c>
      <x:c r="O100" s="28"/>
      <x:c r="P100" s="28" t="n">
        <x:f t="shared" si="8"/>
        <x:v>0</x:v>
      </x:c>
      <x:c r="Q100" s="28" t="n">
        <x:f t="shared" si="9">(P100+H100)*A100</x:f>
        <x:v>0</x:v>
      </x:c>
      <x:c r="R100" s="28" t="n">
        <x:f t="shared" si="24"/>
        <x:v>251.6</x:v>
      </x:c>
      <x:c r="S100" s="28" t="n">
        <x:f t="shared" si="11"/>
        <x:v>75.48</x:v>
      </x:c>
      <x:c r="T100" s="28" t="n">
        <x:f t="shared" si="12">(S100+H100)*A100</x:f>
        <x:v>0</x:v>
      </x:c>
      <x:c r="U100" s="28" t="n">
        <x:f t="shared" si="13"/>
        <x:v>251.6</x:v>
      </x:c>
      <x:c r="V100" s="28" t="n">
        <x:f t="shared" si="14"/>
        <x:v>75.48</x:v>
      </x:c>
      <x:c r="W100" s="28" t="n">
        <x:f t="shared" si="15">(V100+H100)*A100</x:f>
        <x:v>0</x:v>
      </x:c>
      <x:c r="X100" s="28" t="n">
        <x:v>483.33</x:v>
      </x:c>
      <x:c r="Y100" s="28" t="n">
        <x:f t="shared" si="16"/>
        <x:v>145</x:v>
      </x:c>
      <x:c r="Z100" s="28" t="n">
        <x:f t="shared" si="17">(Y100+H100)*A100</x:f>
        <x:v>0</x:v>
      </x:c>
      <x:c r="AA100" s="28"/>
      <x:c r="AB100" s="28" t="n">
        <x:f t="shared" si="18"/>
        <x:v>0</x:v>
      </x:c>
      <x:c r="AC100" s="28" t="n">
        <x:f t="shared" si="19">(AB100+H100)*A100</x:f>
        <x:v>0</x:v>
      </x:c>
      <x:c r="AD100" s="28"/>
      <x:c r="AE100" s="28" t="n">
        <x:f t="shared" si="20"/>
        <x:v>0</x:v>
      </x:c>
      <x:c r="AF100" s="29" t="n">
        <x:f t="shared" si="21">(AE100+H100)*A100</x:f>
        <x:v>0</x:v>
      </x:c>
    </x:row>
    <x:row r="101" ht="15.75" customHeight="1">
      <x:c r="A101" s="26"/>
      <x:c r="B101" s="32" t="s">
        <x:v>208</x:v>
      </x:c>
      <x:c r="C101" s="18"/>
      <x:c r="D101" s="33"/>
      <x:c r="E101" s="34" t="n">
        <x:f t="shared" si="1"/>
        <x:v>0</x:v>
      </x:c>
      <x:c r="F101" s="34" t="n">
        <x:f t="shared" si="2">E101*A101</x:f>
        <x:v>0</x:v>
      </x:c>
      <x:c r="G101" s="33"/>
      <x:c r="H101" s="34" t="n">
        <x:f t="shared" si="3"/>
        <x:v>0</x:v>
      </x:c>
      <x:c r="I101" s="33"/>
      <x:c r="J101" s="34" t="n">
        <x:f t="shared" si="4"/>
        <x:v>0</x:v>
      </x:c>
      <x:c r="K101" s="34" t="n">
        <x:f t="shared" si="5">(J101+H101)*A101</x:f>
        <x:v>0</x:v>
      </x:c>
      <x:c r="L101" s="33"/>
      <x:c r="M101" s="34" t="n">
        <x:f t="shared" si="6"/>
        <x:v>0</x:v>
      </x:c>
      <x:c r="N101" s="34" t="n">
        <x:f t="shared" si="7">(M101+H101)*A101</x:f>
        <x:v>0</x:v>
      </x:c>
      <x:c r="O101" s="33"/>
      <x:c r="P101" s="34" t="n">
        <x:f t="shared" si="8"/>
        <x:v>0</x:v>
      </x:c>
      <x:c r="Q101" s="34" t="n">
        <x:f t="shared" si="9">(P101+H101)*A101</x:f>
        <x:v>0</x:v>
      </x:c>
      <x:c r="R101" s="33"/>
      <x:c r="S101" s="34" t="n">
        <x:f t="shared" si="11"/>
        <x:v>0</x:v>
      </x:c>
      <x:c r="T101" s="34" t="n">
        <x:f t="shared" si="12">(S101+H101)*A101</x:f>
        <x:v>0</x:v>
      </x:c>
      <x:c r="U101" s="33"/>
      <x:c r="V101" s="34" t="n">
        <x:f t="shared" si="14"/>
        <x:v>0</x:v>
      </x:c>
      <x:c r="W101" s="34" t="n">
        <x:f t="shared" si="15">(V101+H101)*A101</x:f>
        <x:v>0</x:v>
      </x:c>
      <x:c r="X101" s="33"/>
      <x:c r="Y101" s="34" t="n">
        <x:f t="shared" si="16"/>
        <x:v>0</x:v>
      </x:c>
      <x:c r="Z101" s="34" t="n">
        <x:f t="shared" si="17">(Y101+H101)*A101</x:f>
        <x:v>0</x:v>
      </x:c>
      <x:c r="AA101" s="34"/>
      <x:c r="AB101" s="34" t="n">
        <x:f t="shared" si="18"/>
        <x:v>0</x:v>
      </x:c>
      <x:c r="AC101" s="34" t="n">
        <x:f t="shared" si="19">(AB101+H101)*A101</x:f>
        <x:v>0</x:v>
      </x:c>
      <x:c r="AD101" s="34"/>
      <x:c r="AE101" s="34" t="n">
        <x:f t="shared" si="20"/>
        <x:v>0</x:v>
      </x:c>
      <x:c r="AF101" s="35" t="n">
        <x:f t="shared" si="21">(AE101+H101)*A101</x:f>
        <x:v>0</x:v>
      </x:c>
    </x:row>
    <x:row r="102" ht="15.75" customHeight="1">
      <x:c r="A102" s="26"/>
      <x:c r="B102" s="27" t="s">
        <x:v>209</x:v>
      </x:c>
      <x:c r="C102" s="27" t="s">
        <x:v>210</x:v>
      </x:c>
      <x:c r="D102" s="28" t="n">
        <x:v>179.06</x:v>
      </x:c>
      <x:c r="E102" s="28" t="n">
        <x:f t="shared" si="1"/>
        <x:v>53.72</x:v>
      </x:c>
      <x:c r="F102" s="28" t="n">
        <x:f t="shared" si="2">E102*A102</x:f>
        <x:v>0</x:v>
      </x:c>
      <x:c r="G102" s="28" t="n">
        <x:v>93.52</x:v>
      </x:c>
      <x:c r="H102" s="28" t="n">
        <x:f t="shared" si="3"/>
        <x:v>28.06</x:v>
      </x:c>
      <x:c r="I102" s="28" t="n">
        <x:v>98.29</x:v>
      </x:c>
      <x:c r="J102" s="28" t="n">
        <x:f t="shared" si="4"/>
        <x:v>29.49</x:v>
      </x:c>
      <x:c r="K102" s="28" t="n">
        <x:f t="shared" si="5">(J102+H102)*A102</x:f>
        <x:v>0</x:v>
      </x:c>
      <x:c r="L102" s="28" t="n">
        <x:v>87.56</x:v>
      </x:c>
      <x:c r="M102" s="28" t="n">
        <x:f t="shared" si="6"/>
        <x:v>22.77</x:v>
      </x:c>
      <x:c r="N102" s="28" t="n">
        <x:f t="shared" si="7">(M102+H102)*A102</x:f>
        <x:v>0</x:v>
      </x:c>
      <x:c r="O102" s="28" t="n">
        <x:v>86.47</x:v>
      </x:c>
      <x:c r="P102" s="28" t="n">
        <x:f t="shared" si="8"/>
        <x:v>25.94</x:v>
      </x:c>
      <x:c r="Q102" s="28" t="n">
        <x:f t="shared" si="9">(P102+H102)*A102</x:f>
        <x:v>0</x:v>
      </x:c>
      <x:c r="R102" s="28" t="n">
        <x:f t="shared" ref="R102:R167" si="25">L102</x:f>
        <x:v>87.56</x:v>
      </x:c>
      <x:c r="S102" s="28" t="n">
        <x:f t="shared" si="11"/>
        <x:v>26.27</x:v>
      </x:c>
      <x:c r="T102" s="28" t="n">
        <x:f t="shared" si="12">(S102+H102)*A102</x:f>
        <x:v>0</x:v>
      </x:c>
      <x:c r="U102" s="28" t="n">
        <x:f t="shared" ref="U102:U167" si="26">R102</x:f>
        <x:v>87.56</x:v>
      </x:c>
      <x:c r="V102" s="28" t="n">
        <x:f t="shared" si="14"/>
        <x:v>26.27</x:v>
      </x:c>
      <x:c r="W102" s="28" t="n">
        <x:f t="shared" si="15">(V102+H102)*A102</x:f>
        <x:v>0</x:v>
      </x:c>
      <x:c r="X102" s="28" t="n">
        <x:v>162.8</x:v>
      </x:c>
      <x:c r="Y102" s="28" t="n">
        <x:f t="shared" si="16"/>
        <x:v>48.84</x:v>
      </x:c>
      <x:c r="Z102" s="28" t="n">
        <x:f t="shared" si="17">(Y102+H102)*A102</x:f>
        <x:v>0</x:v>
      </x:c>
      <x:c r="AA102" s="28" t="n">
        <x:v>96.28</x:v>
      </x:c>
      <x:c r="AB102" s="28" t="n">
        <x:f t="shared" si="18"/>
        <x:v>28.89</x:v>
      </x:c>
      <x:c r="AC102" s="28" t="n">
        <x:f t="shared" si="19">(AB102+H102)*A102</x:f>
        <x:v>0</x:v>
      </x:c>
      <x:c r="AD102" s="28" t="n">
        <x:v>103.99</x:v>
      </x:c>
      <x:c r="AE102" s="28" t="n">
        <x:f t="shared" si="20"/>
        <x:v>31.2</x:v>
      </x:c>
      <x:c r="AF102" s="29" t="n">
        <x:f t="shared" si="21">(AE102+H102)*A102</x:f>
        <x:v>0</x:v>
      </x:c>
    </x:row>
    <x:row r="103" ht="15.75" customHeight="1">
      <x:c r="A103" s="26"/>
      <x:c r="B103" s="27" t="s">
        <x:v>211</x:v>
      </x:c>
      <x:c r="C103" s="27" t="s">
        <x:v>212</x:v>
      </x:c>
      <x:c r="D103" s="28" t="n">
        <x:v>213.69</x:v>
      </x:c>
      <x:c r="E103" s="28" t="n">
        <x:f t="shared" si="1"/>
        <x:v>64.11</x:v>
      </x:c>
      <x:c r="F103" s="28" t="n">
        <x:f t="shared" si="2">E103*A103</x:f>
        <x:v>0</x:v>
      </x:c>
      <x:c r="G103" s="28" t="n">
        <x:v>104.06</x:v>
      </x:c>
      <x:c r="H103" s="28" t="n">
        <x:f t="shared" si="3"/>
        <x:v>31.22</x:v>
      </x:c>
      <x:c r="I103" s="28" t="n">
        <x:v>125.05</x:v>
      </x:c>
      <x:c r="J103" s="28" t="n">
        <x:f t="shared" si="4"/>
        <x:v>37.51</x:v>
      </x:c>
      <x:c r="K103" s="28" t="n">
        <x:f t="shared" si="5">(J103+H103)*A103</x:f>
        <x:v>0</x:v>
      </x:c>
      <x:c r="L103" s="28" t="n">
        <x:v>111.91</x:v>
      </x:c>
      <x:c r="M103" s="28" t="n">
        <x:f t="shared" si="6"/>
        <x:v>29.1</x:v>
      </x:c>
      <x:c r="N103" s="28" t="n">
        <x:f t="shared" si="7">(M103+H103)*A103</x:f>
        <x:v>0</x:v>
      </x:c>
      <x:c r="O103" s="28" t="n">
        <x:v>110.5</x:v>
      </x:c>
      <x:c r="P103" s="28" t="n">
        <x:f t="shared" si="8"/>
        <x:v>33.15</x:v>
      </x:c>
      <x:c r="Q103" s="28" t="n">
        <x:f t="shared" si="9">(P103+H103)*A103</x:f>
        <x:v>0</x:v>
      </x:c>
      <x:c r="R103" s="28" t="n">
        <x:f t="shared" si="25"/>
        <x:v>111.91</x:v>
      </x:c>
      <x:c r="S103" s="28" t="n">
        <x:f t="shared" si="11"/>
        <x:v>33.57</x:v>
      </x:c>
      <x:c r="T103" s="28" t="n">
        <x:f t="shared" si="12">(S103+H103)*A103</x:f>
        <x:v>0</x:v>
      </x:c>
      <x:c r="U103" s="28" t="n">
        <x:f t="shared" si="26"/>
        <x:v>111.91</x:v>
      </x:c>
      <x:c r="V103" s="28" t="n">
        <x:f t="shared" si="14"/>
        <x:v>33.57</x:v>
      </x:c>
      <x:c r="W103" s="28" t="n">
        <x:f t="shared" si="15">(V103+H103)*A103</x:f>
        <x:v>0</x:v>
      </x:c>
      <x:c r="X103" s="28" t="n">
        <x:v>192.44</x:v>
      </x:c>
      <x:c r="Y103" s="28" t="n">
        <x:f t="shared" si="16"/>
        <x:v>57.73</x:v>
      </x:c>
      <x:c r="Z103" s="28" t="n">
        <x:f t="shared" si="17">(Y103+H103)*A103</x:f>
        <x:v>0</x:v>
      </x:c>
      <x:c r="AA103" s="28" t="n">
        <x:v>120.47</x:v>
      </x:c>
      <x:c r="AB103" s="28" t="n">
        <x:f t="shared" si="18"/>
        <x:v>36.14</x:v>
      </x:c>
      <x:c r="AC103" s="28" t="n">
        <x:f t="shared" si="19">(AB103+H103)*A103</x:f>
        <x:v>0</x:v>
      </x:c>
      <x:c r="AD103" s="28" t="n">
        <x:v>131.36</x:v>
      </x:c>
      <x:c r="AE103" s="28" t="n">
        <x:f t="shared" si="20"/>
        <x:v>39.41</x:v>
      </x:c>
      <x:c r="AF103" s="29" t="n">
        <x:f t="shared" si="21">(AE103+H103)*A103</x:f>
        <x:v>0</x:v>
      </x:c>
    </x:row>
    <x:row r="104" ht="15.75" customHeight="1">
      <x:c r="A104" s="26"/>
      <x:c r="B104" s="27" t="s">
        <x:v>213</x:v>
      </x:c>
      <x:c r="C104" s="27" t="s">
        <x:v>214</x:v>
      </x:c>
      <x:c r="D104" s="28" t="n">
        <x:v>246.63</x:v>
      </x:c>
      <x:c r="E104" s="28" t="n">
        <x:f t="shared" si="1"/>
        <x:v>73.99</x:v>
      </x:c>
      <x:c r="F104" s="28" t="n">
        <x:f t="shared" si="2">E104*A104</x:f>
        <x:v>0</x:v>
      </x:c>
      <x:c r="G104" s="28" t="n">
        <x:v>131.9</x:v>
      </x:c>
      <x:c r="H104" s="28" t="n">
        <x:f t="shared" si="3"/>
        <x:v>39.57</x:v>
      </x:c>
      <x:c r="I104" s="28" t="n">
        <x:v>132.38</x:v>
      </x:c>
      <x:c r="J104" s="28" t="n">
        <x:f t="shared" si="4"/>
        <x:v>39.71</x:v>
      </x:c>
      <x:c r="K104" s="28" t="n">
        <x:f t="shared" si="5">(J104+H104)*A104</x:f>
        <x:v>0</x:v>
      </x:c>
      <x:c r="L104" s="28" t="n">
        <x:v>117.34</x:v>
      </x:c>
      <x:c r="M104" s="28" t="n">
        <x:f t="shared" si="6"/>
        <x:v>30.51</x:v>
      </x:c>
      <x:c r="N104" s="28" t="n">
        <x:f t="shared" si="7">(M104+H104)*A104</x:f>
        <x:v>0</x:v>
      </x:c>
      <x:c r="O104" s="28" t="n">
        <x:v>115.82</x:v>
      </x:c>
      <x:c r="P104" s="28" t="n">
        <x:f t="shared" si="8"/>
        <x:v>34.75</x:v>
      </x:c>
      <x:c r="Q104" s="28" t="n">
        <x:f t="shared" si="9">(P104+H104)*A104</x:f>
        <x:v>0</x:v>
      </x:c>
      <x:c r="R104" s="28" t="n">
        <x:f t="shared" si="25"/>
        <x:v>117.34</x:v>
      </x:c>
      <x:c r="S104" s="28" t="n">
        <x:f t="shared" si="11"/>
        <x:v>35.2</x:v>
      </x:c>
      <x:c r="T104" s="28" t="n">
        <x:f t="shared" si="12">(S104+H104)*A104</x:f>
        <x:v>0</x:v>
      </x:c>
      <x:c r="U104" s="28" t="n">
        <x:f t="shared" si="26"/>
        <x:v>117.34</x:v>
      </x:c>
      <x:c r="V104" s="28" t="n">
        <x:f t="shared" si="14"/>
        <x:v>35.2</x:v>
      </x:c>
      <x:c r="W104" s="28" t="n">
        <x:f t="shared" si="15">(V104+H104)*A104</x:f>
        <x:v>0</x:v>
      </x:c>
      <x:c r="X104" s="28" t="n">
        <x:v>222.29</x:v>
      </x:c>
      <x:c r="Y104" s="28" t="n">
        <x:f t="shared" si="16"/>
        <x:v>66.69</x:v>
      </x:c>
      <x:c r="Z104" s="28" t="n">
        <x:f t="shared" si="17">(Y104+H104)*A104</x:f>
        <x:v>0</x:v>
      </x:c>
      <x:c r="AA104" s="28" t="n">
        <x:v>128.15</x:v>
      </x:c>
      <x:c r="AB104" s="28" t="n">
        <x:f t="shared" si="18"/>
        <x:v>38.44</x:v>
      </x:c>
      <x:c r="AC104" s="28" t="n">
        <x:f t="shared" si="19">(AB104+H104)*A104</x:f>
        <x:v>0</x:v>
      </x:c>
      <x:c r="AD104" s="28" t="n">
        <x:v>139.62</x:v>
      </x:c>
      <x:c r="AE104" s="28" t="n">
        <x:f t="shared" si="20"/>
        <x:v>41.89</x:v>
      </x:c>
      <x:c r="AF104" s="29" t="n">
        <x:f t="shared" si="21">(AE104+H104)*A104</x:f>
        <x:v>0</x:v>
      </x:c>
    </x:row>
    <x:row r="105" ht="15.75" customHeight="1">
      <x:c r="A105" s="26"/>
      <x:c r="B105" s="27" t="s">
        <x:v>215</x:v>
      </x:c>
      <x:c r="C105" s="27" t="s">
        <x:v>216</x:v>
      </x:c>
      <x:c r="D105" s="28" t="n">
        <x:v>206.31</x:v>
      </x:c>
      <x:c r="E105" s="28" t="n">
        <x:f t="shared" si="1"/>
        <x:v>61.89</x:v>
      </x:c>
      <x:c r="F105" s="28" t="n">
        <x:f t="shared" si="2">E105*A105</x:f>
        <x:v>0</x:v>
      </x:c>
      <x:c r="G105" s="28" t="n">
        <x:v>110.03</x:v>
      </x:c>
      <x:c r="H105" s="28" t="n">
        <x:f t="shared" si="3"/>
        <x:v>33.01</x:v>
      </x:c>
      <x:c r="I105" s="28" t="n">
        <x:v>111.51</x:v>
      </x:c>
      <x:c r="J105" s="28" t="n">
        <x:f t="shared" si="4"/>
        <x:v>33.45</x:v>
      </x:c>
      <x:c r="K105" s="28" t="n">
        <x:f t="shared" si="5">(J105+H105)*A105</x:f>
        <x:v>0</x:v>
      </x:c>
      <x:c r="L105" s="28" t="n">
        <x:v>98.63</x:v>
      </x:c>
      <x:c r="M105" s="28" t="n">
        <x:f t="shared" si="6"/>
        <x:v>25.64</x:v>
      </x:c>
      <x:c r="N105" s="28" t="n">
        <x:f t="shared" si="7">(M105+H105)*A105</x:f>
        <x:v>0</x:v>
      </x:c>
      <x:c r="O105" s="28" t="n">
        <x:v>97.36</x:v>
      </x:c>
      <x:c r="P105" s="28" t="n">
        <x:f t="shared" si="8"/>
        <x:v>29.21</x:v>
      </x:c>
      <x:c r="Q105" s="28" t="n">
        <x:f t="shared" si="9">(P105+H105)*A105</x:f>
        <x:v>0</x:v>
      </x:c>
      <x:c r="R105" s="28" t="n">
        <x:f t="shared" si="25"/>
        <x:v>98.63</x:v>
      </x:c>
      <x:c r="S105" s="28" t="n">
        <x:f t="shared" si="11"/>
        <x:v>29.59</x:v>
      </x:c>
      <x:c r="T105" s="28" t="n">
        <x:f t="shared" si="12">(S105+H105)*A105</x:f>
        <x:v>0</x:v>
      </x:c>
      <x:c r="U105" s="28" t="n">
        <x:f t="shared" si="26"/>
        <x:v>98.63</x:v>
      </x:c>
      <x:c r="V105" s="28" t="n">
        <x:f t="shared" si="14"/>
        <x:v>29.59</x:v>
      </x:c>
      <x:c r="W105" s="28" t="n">
        <x:f t="shared" si="15">(V105+H105)*A105</x:f>
        <x:v>0</x:v>
      </x:c>
      <x:c r="X105" s="28" t="n">
        <x:v>191.41</x:v>
      </x:c>
      <x:c r="Y105" s="28" t="n">
        <x:f t="shared" si="16"/>
        <x:v>57.42</x:v>
      </x:c>
      <x:c r="Z105" s="28" t="n">
        <x:f t="shared" si="17">(Y105+H105)*A105</x:f>
        <x:v>0</x:v>
      </x:c>
      <x:c r="AA105" s="28" t="n">
        <x:v>108.7</x:v>
      </x:c>
      <x:c r="AB105" s="28" t="n">
        <x:f t="shared" si="18"/>
        <x:v>32.61</x:v>
      </x:c>
      <x:c r="AC105" s="28" t="n">
        <x:f t="shared" si="19">(AB105+H105)*A105</x:f>
        <x:v>0</x:v>
      </x:c>
      <x:c r="AD105" s="28" t="n">
        <x:v>117.42</x:v>
      </x:c>
      <x:c r="AE105" s="28" t="n">
        <x:f t="shared" si="20"/>
        <x:v>35.23</x:v>
      </x:c>
      <x:c r="AF105" s="29" t="n">
        <x:f t="shared" si="21">(AE105+H105)*A105</x:f>
        <x:v>0</x:v>
      </x:c>
    </x:row>
    <x:row r="106" ht="15.75" customHeight="1">
      <x:c r="A106" s="26"/>
      <x:c r="B106" s="27" t="s">
        <x:v>217</x:v>
      </x:c>
      <x:c r="C106" s="27" t="s">
        <x:v>218</x:v>
      </x:c>
      <x:c r="D106" s="28" t="n">
        <x:v>255.56</x:v>
      </x:c>
      <x:c r="E106" s="28" t="n">
        <x:f t="shared" si="1"/>
        <x:v>76.67</x:v>
      </x:c>
      <x:c r="F106" s="28" t="n">
        <x:f t="shared" si="2">E106*A106</x:f>
        <x:v>0</x:v>
      </x:c>
      <x:c r="G106" s="28" t="n">
        <x:v>118.48</x:v>
      </x:c>
      <x:c r="H106" s="28" t="n">
        <x:f t="shared" si="3"/>
        <x:v>35.55</x:v>
      </x:c>
      <x:c r="I106" s="28" t="n">
        <x:v>155.12</x:v>
      </x:c>
      <x:c r="J106" s="28" t="n">
        <x:f t="shared" si="4"/>
        <x:v>46.54</x:v>
      </x:c>
      <x:c r="K106" s="28" t="n">
        <x:f t="shared" si="5">(J106+H106)*A106</x:f>
        <x:v>0</x:v>
      </x:c>
      <x:c r="L106" s="28" t="n">
        <x:v>139.88</x:v>
      </x:c>
      <x:c r="M106" s="28" t="n">
        <x:f t="shared" si="6"/>
        <x:v>36.37</x:v>
      </x:c>
      <x:c r="N106" s="28" t="n">
        <x:f t="shared" si="7">(M106+H106)*A106</x:f>
        <x:v>0</x:v>
      </x:c>
      <x:c r="O106" s="28" t="n">
        <x:v>138.1</x:v>
      </x:c>
      <x:c r="P106" s="28" t="n">
        <x:f t="shared" si="8"/>
        <x:v>41.43</x:v>
      </x:c>
      <x:c r="Q106" s="28" t="n">
        <x:f t="shared" si="9">(P106+H106)*A106</x:f>
        <x:v>0</x:v>
      </x:c>
      <x:c r="R106" s="28" t="n">
        <x:f t="shared" si="25"/>
        <x:v>139.88</x:v>
      </x:c>
      <x:c r="S106" s="28" t="n">
        <x:f t="shared" si="11"/>
        <x:v>41.96</x:v>
      </x:c>
      <x:c r="T106" s="28" t="n">
        <x:f t="shared" si="12">(S106+H106)*A106</x:f>
        <x:v>0</x:v>
      </x:c>
      <x:c r="U106" s="28" t="n">
        <x:f t="shared" si="26"/>
        <x:v>139.88</x:v>
      </x:c>
      <x:c r="V106" s="28" t="n">
        <x:f t="shared" si="14"/>
        <x:v>41.96</x:v>
      </x:c>
      <x:c r="W106" s="28" t="n">
        <x:f t="shared" si="15">(V106+H106)*A106</x:f>
        <x:v>0</x:v>
      </x:c>
      <x:c r="X106" s="28" t="n">
        <x:v>225.1</x:v>
      </x:c>
      <x:c r="Y106" s="28" t="n">
        <x:f t="shared" si="16"/>
        <x:v>67.53</x:v>
      </x:c>
      <x:c r="Z106" s="28" t="n">
        <x:f t="shared" si="17">(Y106+H106)*A106</x:f>
        <x:v>0</x:v>
      </x:c>
      <x:c r="AA106" s="28" t="n">
        <x:v>148.74</x:v>
      </x:c>
      <x:c r="AB106" s="28" t="n">
        <x:f t="shared" si="18"/>
        <x:v>44.62</x:v>
      </x:c>
      <x:c r="AC106" s="28" t="n">
        <x:f t="shared" si="19">(AB106+H106)*A106</x:f>
        <x:v>0</x:v>
      </x:c>
      <x:c r="AD106" s="28" t="n">
        <x:v>162.9</x:v>
      </x:c>
      <x:c r="AE106" s="28" t="n">
        <x:f t="shared" si="20"/>
        <x:v>48.87</x:v>
      </x:c>
      <x:c r="AF106" s="29" t="n">
        <x:f t="shared" si="21">(AE106+H106)*A106</x:f>
        <x:v>0</x:v>
      </x:c>
    </x:row>
    <x:row r="107" ht="15.75" customHeight="1">
      <x:c r="A107" s="26"/>
      <x:c r="B107" s="27" t="s">
        <x:v>219</x:v>
      </x:c>
      <x:c r="C107" s="27" t="s">
        <x:v>220</x:v>
      </x:c>
      <x:c r="D107" s="28" t="n">
        <x:v>289.57</x:v>
      </x:c>
      <x:c r="E107" s="28" t="n">
        <x:f t="shared" si="1"/>
        <x:v>86.87</x:v>
      </x:c>
      <x:c r="F107" s="28" t="n">
        <x:f t="shared" si="2">E107*A107</x:f>
        <x:v>0</x:v>
      </x:c>
      <x:c r="G107" s="28" t="n">
        <x:v>149.88</x:v>
      </x:c>
      <x:c r="H107" s="28" t="n">
        <x:f t="shared" si="3"/>
        <x:v>44.97</x:v>
      </x:c>
      <x:c r="I107" s="28" t="n">
        <x:v>160.69</x:v>
      </x:c>
      <x:c r="J107" s="28" t="n">
        <x:f t="shared" si="4"/>
        <x:v>48.21</x:v>
      </x:c>
      <x:c r="K107" s="28" t="n">
        <x:f t="shared" si="5">(J107+H107)*A107</x:f>
        <x:v>0</x:v>
      </x:c>
      <x:c r="L107" s="28" t="n">
        <x:v>143.04</x:v>
      </x:c>
      <x:c r="M107" s="28" t="n">
        <x:f t="shared" si="6"/>
        <x:v>37.19</x:v>
      </x:c>
      <x:c r="N107" s="28" t="n">
        <x:f t="shared" si="7">(M107+H107)*A107</x:f>
        <x:v>0</x:v>
      </x:c>
      <x:c r="O107" s="28" t="n">
        <x:v>141.17</x:v>
      </x:c>
      <x:c r="P107" s="28" t="n">
        <x:f t="shared" si="8"/>
        <x:v>42.35</x:v>
      </x:c>
      <x:c r="Q107" s="28" t="n">
        <x:f t="shared" si="9">(P107+H107)*A107</x:f>
        <x:v>0</x:v>
      </x:c>
      <x:c r="R107" s="28" t="n">
        <x:f t="shared" si="25"/>
        <x:v>143.04</x:v>
      </x:c>
      <x:c r="S107" s="28" t="n">
        <x:f t="shared" si="11"/>
        <x:v>42.91</x:v>
      </x:c>
      <x:c r="T107" s="28" t="n">
        <x:f t="shared" si="12">(S107+H107)*A107</x:f>
        <x:v>0</x:v>
      </x:c>
      <x:c r="U107" s="28" t="n">
        <x:f t="shared" si="26"/>
        <x:v>143.04</x:v>
      </x:c>
      <x:c r="V107" s="28" t="n">
        <x:f t="shared" si="14"/>
        <x:v>42.91</x:v>
      </x:c>
      <x:c r="W107" s="28" t="n">
        <x:f t="shared" si="15">(V107+H107)*A107</x:f>
        <x:v>0</x:v>
      </x:c>
      <x:c r="X107" s="28" t="n">
        <x:v>259.01</x:v>
      </x:c>
      <x:c r="Y107" s="28" t="n">
        <x:f t="shared" si="16"/>
        <x:v>77.7</x:v>
      </x:c>
      <x:c r="Z107" s="28" t="n">
        <x:f t="shared" si="17">(Y107+H107)*A107</x:f>
        <x:v>0</x:v>
      </x:c>
      <x:c r="AA107" s="28" t="n">
        <x:v>151.58</x:v>
      </x:c>
      <x:c r="AB107" s="28" t="n">
        <x:f t="shared" si="18"/>
        <x:v>45.47</x:v>
      </x:c>
      <x:c r="AC107" s="28" t="n">
        <x:f t="shared" si="19">(AB107+H107)*A107</x:f>
        <x:v>0</x:v>
      </x:c>
      <x:c r="AD107" s="28" t="n">
        <x:v>169.34</x:v>
      </x:c>
      <x:c r="AE107" s="28" t="n">
        <x:f t="shared" si="20"/>
        <x:v>50.8</x:v>
      </x:c>
      <x:c r="AF107" s="29" t="n">
        <x:f t="shared" si="21">(AE107+H107)*A107</x:f>
        <x:v>0</x:v>
      </x:c>
    </x:row>
    <x:row r="108" ht="15.75" customHeight="1">
      <x:c r="A108" s="26"/>
      <x:c r="B108" s="27" t="s">
        <x:v>221</x:v>
      </x:c>
      <x:c r="C108" s="27" t="s">
        <x:v>222</x:v>
      </x:c>
      <x:c r="D108" s="28" t="n">
        <x:v>232.94</x:v>
      </x:c>
      <x:c r="E108" s="28" t="n">
        <x:f t="shared" si="1"/>
        <x:v>69.88</x:v>
      </x:c>
      <x:c r="F108" s="28" t="n">
        <x:f t="shared" si="2">E108*A108</x:f>
        <x:v>0</x:v>
      </x:c>
      <x:c r="G108" s="28" t="n">
        <x:v>123.78</x:v>
      </x:c>
      <x:c r="H108" s="28" t="n">
        <x:f t="shared" si="3"/>
        <x:v>37.13</x:v>
      </x:c>
      <x:c r="I108" s="28" t="n">
        <x:v>126.2</x:v>
      </x:c>
      <x:c r="J108" s="28" t="n">
        <x:f t="shared" si="4"/>
        <x:v>37.86</x:v>
      </x:c>
      <x:c r="K108" s="28" t="n">
        <x:f t="shared" si="5">(J108+H108)*A108</x:f>
        <x:v>0</x:v>
      </x:c>
      <x:c r="L108" s="28" t="n">
        <x:v>111.71</x:v>
      </x:c>
      <x:c r="M108" s="28" t="n">
        <x:f t="shared" si="6"/>
        <x:v>29.04</x:v>
      </x:c>
      <x:c r="N108" s="28" t="n">
        <x:f t="shared" si="7">(M108+H108)*A108</x:f>
        <x:v>0</x:v>
      </x:c>
      <x:c r="O108" s="28" t="n">
        <x:v>110.28</x:v>
      </x:c>
      <x:c r="P108" s="28" t="n">
        <x:f t="shared" si="8"/>
        <x:v>33.08</x:v>
      </x:c>
      <x:c r="Q108" s="28" t="n">
        <x:f t="shared" si="9">(P108+H108)*A108</x:f>
        <x:v>0</x:v>
      </x:c>
      <x:c r="R108" s="28" t="n">
        <x:f t="shared" si="25"/>
        <x:v>111.71</x:v>
      </x:c>
      <x:c r="S108" s="28" t="n">
        <x:f t="shared" si="11"/>
        <x:v>33.51</x:v>
      </x:c>
      <x:c r="T108" s="28" t="n">
        <x:f t="shared" si="12">(S108+H108)*A108</x:f>
        <x:v>0</x:v>
      </x:c>
      <x:c r="U108" s="28" t="n">
        <x:f t="shared" si="26"/>
        <x:v>111.71</x:v>
      </x:c>
      <x:c r="V108" s="28" t="n">
        <x:f t="shared" si="14"/>
        <x:v>33.51</x:v>
      </x:c>
      <x:c r="W108" s="28" t="n">
        <x:f t="shared" si="15">(V108+H108)*A108</x:f>
        <x:v>0</x:v>
      </x:c>
      <x:c r="X108" s="28" t="n">
        <x:v>220.03</x:v>
      </x:c>
      <x:c r="Y108" s="28" t="n">
        <x:f t="shared" si="16"/>
        <x:v>66.01</x:v>
      </x:c>
      <x:c r="Z108" s="28" t="n">
        <x:f t="shared" si="17">(Y108+H108)*A108</x:f>
        <x:v>0</x:v>
      </x:c>
      <x:c r="AA108" s="28" t="n">
        <x:v>122.22</x:v>
      </x:c>
      <x:c r="AB108" s="28" t="n">
        <x:f t="shared" si="18"/>
        <x:v>36.67</x:v>
      </x:c>
      <x:c r="AC108" s="28" t="n">
        <x:f t="shared" si="19">(AB108+H108)*A108</x:f>
        <x:v>0</x:v>
      </x:c>
      <x:c r="AD108" s="28" t="n">
        <x:v>133.18</x:v>
      </x:c>
      <x:c r="AE108" s="28" t="n">
        <x:f t="shared" si="20"/>
        <x:v>39.95</x:v>
      </x:c>
      <x:c r="AF108" s="29" t="n">
        <x:f t="shared" si="21">(AE108+H108)*A108</x:f>
        <x:v>0</x:v>
      </x:c>
    </x:row>
    <x:row r="109" ht="15.75" customHeight="1">
      <x:c r="A109" s="26"/>
      <x:c r="B109" s="27" t="s">
        <x:v>223</x:v>
      </x:c>
      <x:c r="C109" s="27" t="s">
        <x:v>224</x:v>
      </x:c>
      <x:c r="D109" s="28" t="n">
        <x:v>276.63</x:v>
      </x:c>
      <x:c r="E109" s="28" t="n">
        <x:f t="shared" si="1"/>
        <x:v>82.99</x:v>
      </x:c>
      <x:c r="F109" s="28" t="n">
        <x:f t="shared" si="2">E109*A109</x:f>
        <x:v>0</x:v>
      </x:c>
      <x:c r="G109" s="28" t="n">
        <x:v>132.24</x:v>
      </x:c>
      <x:c r="H109" s="28" t="n">
        <x:f t="shared" si="3"/>
        <x:v>39.67</x:v>
      </x:c>
      <x:c r="I109" s="28" t="n">
        <x:v>163.98</x:v>
      </x:c>
      <x:c r="J109" s="28" t="n">
        <x:f t="shared" si="4"/>
        <x:v>49.19</x:v>
      </x:c>
      <x:c r="K109" s="28" t="n">
        <x:f t="shared" si="5">(J109+H109)*A109</x:f>
        <x:v>0</x:v>
      </x:c>
      <x:c r="L109" s="28" t="n">
        <x:v>147.26</x:v>
      </x:c>
      <x:c r="M109" s="28" t="n">
        <x:f t="shared" si="6"/>
        <x:v>38.29</x:v>
      </x:c>
      <x:c r="N109" s="28" t="n">
        <x:f t="shared" si="7">(M109+H109)*A109</x:f>
        <x:v>0</x:v>
      </x:c>
      <x:c r="O109" s="28" t="n">
        <x:v>145.37</x:v>
      </x:c>
      <x:c r="P109" s="28" t="n">
        <x:f t="shared" si="8"/>
        <x:v>43.61</x:v>
      </x:c>
      <x:c r="Q109" s="28" t="n">
        <x:f t="shared" si="9">(P109+H109)*A109</x:f>
        <x:v>0</x:v>
      </x:c>
      <x:c r="R109" s="28" t="n">
        <x:f t="shared" si="25"/>
        <x:v>147.26</x:v>
      </x:c>
      <x:c r="S109" s="28" t="n">
        <x:f t="shared" si="11"/>
        <x:v>44.18</x:v>
      </x:c>
      <x:c r="T109" s="28" t="n">
        <x:f t="shared" si="12">(S109+H109)*A109</x:f>
        <x:v>0</x:v>
      </x:c>
      <x:c r="U109" s="28" t="n">
        <x:f t="shared" si="26"/>
        <x:v>147.26</x:v>
      </x:c>
      <x:c r="V109" s="28" t="n">
        <x:f t="shared" si="14"/>
        <x:v>44.18</x:v>
      </x:c>
      <x:c r="W109" s="28" t="n">
        <x:f t="shared" si="15">(V109+H109)*A109</x:f>
        <x:v>0</x:v>
      </x:c>
      <x:c r="X109" s="28" t="n">
        <x:v>257.75</x:v>
      </x:c>
      <x:c r="Y109" s="28" t="n">
        <x:f t="shared" si="16"/>
        <x:v>77.33</x:v>
      </x:c>
      <x:c r="Z109" s="28" t="n">
        <x:f t="shared" si="17">(Y109+H109)*A109</x:f>
        <x:v>0</x:v>
      </x:c>
      <x:c r="AA109" s="28" t="n">
        <x:v>157.95</x:v>
      </x:c>
      <x:c r="AB109" s="28" t="n">
        <x:f t="shared" si="18"/>
        <x:v>47.39</x:v>
      </x:c>
      <x:c r="AC109" s="28" t="n">
        <x:f t="shared" si="19">(AB109+H109)*A109</x:f>
        <x:v>0</x:v>
      </x:c>
      <x:c r="AD109" s="28" t="n">
        <x:v>172.7</x:v>
      </x:c>
      <x:c r="AE109" s="28" t="n">
        <x:f t="shared" si="20"/>
        <x:v>51.81</x:v>
      </x:c>
      <x:c r="AF109" s="29" t="n">
        <x:f t="shared" si="21">(AE109+H109)*A109</x:f>
        <x:v>0</x:v>
      </x:c>
    </x:row>
    <x:row r="110" ht="15.75" customHeight="1">
      <x:c r="A110" s="26"/>
      <x:c r="B110" s="27" t="s">
        <x:v>225</x:v>
      </x:c>
      <x:c r="C110" s="27" t="s">
        <x:v>226</x:v>
      </x:c>
      <x:c r="D110" s="28" t="n">
        <x:v>324.05</x:v>
      </x:c>
      <x:c r="E110" s="28" t="n">
        <x:f t="shared" si="1"/>
        <x:v>97.22</x:v>
      </x:c>
      <x:c r="F110" s="28" t="n">
        <x:f t="shared" si="2">E110*A110</x:f>
        <x:v>0</x:v>
      </x:c>
      <x:c r="G110" s="28" t="n">
        <x:v>161.56</x:v>
      </x:c>
      <x:c r="H110" s="28" t="n">
        <x:f t="shared" si="3"/>
        <x:v>48.47</x:v>
      </x:c>
      <x:c r="I110" s="28" t="n">
        <x:v>178.8</x:v>
      </x:c>
      <x:c r="J110" s="28" t="n">
        <x:f t="shared" si="4"/>
        <x:v>53.64</x:v>
      </x:c>
      <x:c r="K110" s="28" t="n">
        <x:f t="shared" si="5">(J110+H110)*A110</x:f>
        <x:v>0</x:v>
      </x:c>
      <x:c r="L110" s="28" t="n">
        <x:v>166.05</x:v>
      </x:c>
      <x:c r="M110" s="28" t="n">
        <x:f t="shared" si="6"/>
        <x:v>43.17</x:v>
      </x:c>
      <x:c r="N110" s="28" t="n">
        <x:f t="shared" si="7">(M110+H110)*A110</x:f>
        <x:v>0</x:v>
      </x:c>
      <x:c r="O110" s="28" t="n">
        <x:v>163.9</x:v>
      </x:c>
      <x:c r="P110" s="28" t="n">
        <x:f t="shared" si="8"/>
        <x:v>49.17</x:v>
      </x:c>
      <x:c r="Q110" s="28" t="n">
        <x:f t="shared" si="9">(P110+H110)*A110</x:f>
        <x:v>0</x:v>
      </x:c>
      <x:c r="R110" s="28" t="n">
        <x:f t="shared" si="25"/>
        <x:v>166.05</x:v>
      </x:c>
      <x:c r="S110" s="28" t="n">
        <x:f t="shared" si="11"/>
        <x:v>49.81</x:v>
      </x:c>
      <x:c r="T110" s="28" t="n">
        <x:f t="shared" si="12">(S110+H110)*A110</x:f>
        <x:v>0</x:v>
      </x:c>
      <x:c r="U110" s="28" t="n">
        <x:f t="shared" si="26"/>
        <x:v>166.05</x:v>
      </x:c>
      <x:c r="V110" s="28" t="n">
        <x:f t="shared" si="14"/>
        <x:v>49.81</x:v>
      </x:c>
      <x:c r="W110" s="28" t="n">
        <x:f t="shared" si="15">(V110+H110)*A110</x:f>
        <x:v>0</x:v>
      </x:c>
      <x:c r="X110" s="28" t="n">
        <x:v>295.72</x:v>
      </x:c>
      <x:c r="Y110" s="28" t="n">
        <x:f t="shared" si="16"/>
        <x:v>88.71</x:v>
      </x:c>
      <x:c r="Z110" s="28" t="n">
        <x:f t="shared" si="17">(Y110+H110)*A110</x:f>
        <x:v>0</x:v>
      </x:c>
      <x:c r="AA110" s="28" t="n">
        <x:v>171.18</x:v>
      </x:c>
      <x:c r="AB110" s="28" t="n">
        <x:f t="shared" si="18"/>
        <x:v>51.35</x:v>
      </x:c>
      <x:c r="AC110" s="28" t="n">
        <x:f t="shared" si="19">(AB110+H110)*A110</x:f>
        <x:v>0</x:v>
      </x:c>
      <x:c r="AD110" s="28" t="n">
        <x:v>194.9</x:v>
      </x:c>
      <x:c r="AE110" s="28" t="n">
        <x:f t="shared" si="20"/>
        <x:v>58.47</x:v>
      </x:c>
      <x:c r="AF110" s="29" t="n">
        <x:f t="shared" si="21">(AE110+H110)*A110</x:f>
        <x:v>0</x:v>
      </x:c>
    </x:row>
    <x:row r="111" ht="15.75" customHeight="1">
      <x:c r="A111" s="26"/>
      <x:c r="B111" s="27" t="s">
        <x:v>227</x:v>
      </x:c>
      <x:c r="C111" s="27" t="s">
        <x:v>228</x:v>
      </x:c>
      <x:c r="D111" s="28" t="n">
        <x:v>259.51</x:v>
      </x:c>
      <x:c r="E111" s="28" t="n">
        <x:f t="shared" si="1"/>
        <x:v>77.85</x:v>
      </x:c>
      <x:c r="F111" s="28" t="n">
        <x:f t="shared" si="2">E111*A111</x:f>
        <x:v>0</x:v>
      </x:c>
      <x:c r="G111" s="28" t="n">
        <x:v>137.47</x:v>
      </x:c>
      <x:c r="H111" s="28" t="n">
        <x:f t="shared" si="3"/>
        <x:v>41.24</x:v>
      </x:c>
      <x:c r="I111" s="28" t="n">
        <x:v>141.07</x:v>
      </x:c>
      <x:c r="J111" s="28" t="n">
        <x:f t="shared" si="4"/>
        <x:v>42.32</x:v>
      </x:c>
      <x:c r="K111" s="28" t="n">
        <x:f t="shared" si="5">(J111+H111)*A111</x:f>
        <x:v>0</x:v>
      </x:c>
      <x:c r="L111" s="28" t="n">
        <x:v>125.12</x:v>
      </x:c>
      <x:c r="M111" s="28" t="n">
        <x:f t="shared" si="6"/>
        <x:v>32.53</x:v>
      </x:c>
      <x:c r="N111" s="28" t="n">
        <x:f t="shared" si="7">(M111+H111)*A111</x:f>
        <x:v>0</x:v>
      </x:c>
      <x:c r="O111" s="28" t="n">
        <x:v>123.5</x:v>
      </x:c>
      <x:c r="P111" s="28" t="n">
        <x:f t="shared" si="8"/>
        <x:v>37.05</x:v>
      </x:c>
      <x:c r="Q111" s="28" t="n">
        <x:f t="shared" si="9">(P111+H111)*A111</x:f>
        <x:v>0</x:v>
      </x:c>
      <x:c r="R111" s="28" t="n">
        <x:f t="shared" si="25"/>
        <x:v>125.12</x:v>
      </x:c>
      <x:c r="S111" s="28" t="n">
        <x:f t="shared" si="11"/>
        <x:v>37.54</x:v>
      </x:c>
      <x:c r="T111" s="28" t="n">
        <x:f t="shared" si="12">(S111+H111)*A111</x:f>
        <x:v>0</x:v>
      </x:c>
      <x:c r="U111" s="28" t="n">
        <x:f t="shared" si="26"/>
        <x:v>125.12</x:v>
      </x:c>
      <x:c r="V111" s="28" t="n">
        <x:f t="shared" si="14"/>
        <x:v>37.54</x:v>
      </x:c>
      <x:c r="W111" s="28" t="n">
        <x:f t="shared" si="15">(V111+H111)*A111</x:f>
        <x:v>0</x:v>
      </x:c>
      <x:c r="X111" s="28" t="n">
        <x:v>248.64</x:v>
      </x:c>
      <x:c r="Y111" s="28" t="n">
        <x:f t="shared" si="16"/>
        <x:v>74.59</x:v>
      </x:c>
      <x:c r="Z111" s="28" t="n">
        <x:f t="shared" si="17">(Y111+H111)*A111</x:f>
        <x:v>0</x:v>
      </x:c>
      <x:c r="AA111" s="28" t="n">
        <x:v>135.89</x:v>
      </x:c>
      <x:c r="AB111" s="28" t="n">
        <x:f t="shared" si="18"/>
        <x:v>40.77</x:v>
      </x:c>
      <x:c r="AC111" s="28" t="n">
        <x:f t="shared" si="19">(AB111+H111)*A111</x:f>
        <x:v>0</x:v>
      </x:c>
      <x:c r="AD111" s="28" t="n">
        <x:v>148.81</x:v>
      </x:c>
      <x:c r="AE111" s="28" t="n">
        <x:f t="shared" si="20"/>
        <x:v>44.64</x:v>
      </x:c>
      <x:c r="AF111" s="29" t="n">
        <x:f t="shared" si="21">(AE111+H111)*A111</x:f>
        <x:v>0</x:v>
      </x:c>
    </x:row>
    <x:row r="112" ht="15.75" customHeight="1">
      <x:c r="A112" s="26"/>
      <x:c r="B112" s="27" t="s">
        <x:v>229</x:v>
      </x:c>
      <x:c r="C112" s="27" t="s">
        <x:v>230</x:v>
      </x:c>
      <x:c r="D112" s="28" t="n">
        <x:v>319.36</x:v>
      </x:c>
      <x:c r="E112" s="28" t="n">
        <x:f t="shared" si="1"/>
        <x:v>95.81</x:v>
      </x:c>
      <x:c r="F112" s="28" t="n">
        <x:f t="shared" si="2">E112*A112</x:f>
        <x:v>0</x:v>
      </x:c>
      <x:c r="G112" s="28" t="n">
        <x:v>146.4</x:v>
      </x:c>
      <x:c r="H112" s="28" t="n">
        <x:f t="shared" si="3"/>
        <x:v>43.92</x:v>
      </x:c>
      <x:c r="I112" s="28" t="n">
        <x:v>196.04</x:v>
      </x:c>
      <x:c r="J112" s="28" t="n">
        <x:f t="shared" si="4"/>
        <x:v>58.81</x:v>
      </x:c>
      <x:c r="K112" s="28" t="n">
        <x:f t="shared" si="5">(J112+H112)*A112</x:f>
        <x:v>0</x:v>
      </x:c>
      <x:c r="L112" s="28" t="n">
        <x:v>176.45</x:v>
      </x:c>
      <x:c r="M112" s="28" t="n">
        <x:f t="shared" si="6"/>
        <x:v>45.88</x:v>
      </x:c>
      <x:c r="N112" s="28" t="n">
        <x:f t="shared" si="7">(M112+H112)*A112</x:f>
        <x:v>0</x:v>
      </x:c>
      <x:c r="O112" s="28" t="n">
        <x:v>174.16</x:v>
      </x:c>
      <x:c r="P112" s="28" t="n">
        <x:f t="shared" si="8"/>
        <x:v>52.25</x:v>
      </x:c>
      <x:c r="Q112" s="28" t="n">
        <x:f t="shared" si="9">(P112+H112)*A112</x:f>
        <x:v>0</x:v>
      </x:c>
      <x:c r="R112" s="28" t="n">
        <x:f t="shared" si="25"/>
        <x:v>176.45</x:v>
      </x:c>
      <x:c r="S112" s="28" t="n">
        <x:f t="shared" si="11"/>
        <x:v>52.94</x:v>
      </x:c>
      <x:c r="T112" s="28" t="n">
        <x:f t="shared" si="12">(S112+H112)*A112</x:f>
        <x:v>0</x:v>
      </x:c>
      <x:c r="U112" s="28" t="n">
        <x:f t="shared" si="26"/>
        <x:v>176.45</x:v>
      </x:c>
      <x:c r="V112" s="28" t="n">
        <x:f t="shared" si="14"/>
        <x:v>52.94</x:v>
      </x:c>
      <x:c r="W112" s="28" t="n">
        <x:f t="shared" si="15">(V112+H112)*A112</x:f>
        <x:v>0</x:v>
      </x:c>
      <x:c r="X112" s="28" t="n">
        <x:v>290.41</x:v>
      </x:c>
      <x:c r="Y112" s="28" t="n">
        <x:f t="shared" si="16"/>
        <x:v>87.12</x:v>
      </x:c>
      <x:c r="Z112" s="28" t="n">
        <x:f t="shared" si="17">(Y112+H112)*A112</x:f>
        <x:v>0</x:v>
      </x:c>
      <x:c r="AA112" s="28" t="n">
        <x:v>189.52</x:v>
      </x:c>
      <x:c r="AB112" s="28" t="n">
        <x:f t="shared" si="18"/>
        <x:v>56.86</x:v>
      </x:c>
      <x:c r="AC112" s="28" t="n">
        <x:f t="shared" si="19">(AB112+H112)*A112</x:f>
        <x:v>0</x:v>
      </x:c>
      <x:c r="AD112" s="28" t="n">
        <x:v>205.97</x:v>
      </x:c>
      <x:c r="AE112" s="28" t="n">
        <x:f t="shared" si="20"/>
        <x:v>61.79</x:v>
      </x:c>
      <x:c r="AF112" s="29" t="n">
        <x:f t="shared" si="21">(AE112+H112)*A112</x:f>
        <x:v>0</x:v>
      </x:c>
    </x:row>
    <x:row r="113" ht="15.75" customHeight="1">
      <x:c r="A113" s="26"/>
      <x:c r="B113" s="27" t="s">
        <x:v>231</x:v>
      </x:c>
      <x:c r="C113" s="27" t="s">
        <x:v>232</x:v>
      </x:c>
      <x:c r="D113" s="28" t="n">
        <x:v>351.56</x:v>
      </x:c>
      <x:c r="E113" s="28" t="n">
        <x:f t="shared" si="1"/>
        <x:v>105.47</x:v>
      </x:c>
      <x:c r="F113" s="28" t="n">
        <x:f t="shared" si="2">E113*A113</x:f>
        <x:v>0</x:v>
      </x:c>
      <x:c r="G113" s="28" t="n">
        <x:v>178.74</x:v>
      </x:c>
      <x:c r="H113" s="28" t="n">
        <x:f t="shared" si="3"/>
        <x:v>53.62</x:v>
      </x:c>
      <x:c r="I113" s="28" t="n">
        <x:v>198.45</x:v>
      </x:c>
      <x:c r="J113" s="28" t="n">
        <x:f t="shared" si="4"/>
        <x:v>59.54</x:v>
      </x:c>
      <x:c r="K113" s="28" t="n">
        <x:f t="shared" si="5">(J113+H113)*A113</x:f>
        <x:v>0</x:v>
      </x:c>
      <x:c r="L113" s="28" t="n">
        <x:v>176.65</x:v>
      </x:c>
      <x:c r="M113" s="28" t="n">
        <x:f t="shared" si="6"/>
        <x:v>45.93</x:v>
      </x:c>
      <x:c r="N113" s="28" t="n">
        <x:f t="shared" si="7">(M113+H113)*A113</x:f>
        <x:v>0</x:v>
      </x:c>
      <x:c r="O113" s="28" t="n">
        <x:v>174.38</x:v>
      </x:c>
      <x:c r="P113" s="28" t="n">
        <x:f t="shared" si="8"/>
        <x:v>52.31</x:v>
      </x:c>
      <x:c r="Q113" s="28" t="n">
        <x:f t="shared" si="9">(P113+H113)*A113</x:f>
        <x:v>0</x:v>
      </x:c>
      <x:c r="R113" s="28" t="n">
        <x:f t="shared" si="25"/>
        <x:v>176.65</x:v>
      </x:c>
      <x:c r="S113" s="28" t="n">
        <x:f t="shared" si="11"/>
        <x:v>53</x:v>
      </x:c>
      <x:c r="T113" s="28" t="n">
        <x:f t="shared" si="12">(S113+H113)*A113</x:f>
        <x:v>0</x:v>
      </x:c>
      <x:c r="U113" s="28" t="n">
        <x:f t="shared" si="26"/>
        <x:v>176.65</x:v>
      </x:c>
      <x:c r="V113" s="28" t="n">
        <x:f t="shared" si="14"/>
        <x:v>53</x:v>
      </x:c>
      <x:c r="W113" s="28" t="n">
        <x:f t="shared" si="15">(V113+H113)*A113</x:f>
        <x:v>0</x:v>
      </x:c>
      <x:c r="X113" s="28" t="n">
        <x:v>332.44</x:v>
      </x:c>
      <x:c r="Y113" s="28" t="n">
        <x:f t="shared" si="16"/>
        <x:v>99.73</x:v>
      </x:c>
      <x:c r="Z113" s="28" t="n">
        <x:f t="shared" si="17">(Y113+H113)*A113</x:f>
        <x:v>0</x:v>
      </x:c>
      <x:c r="AA113" s="28" t="n">
        <x:v>191.8</x:v>
      </x:c>
      <x:c r="AB113" s="28" t="n">
        <x:f t="shared" si="18"/>
        <x:v>57.54</x:v>
      </x:c>
      <x:c r="AC113" s="28" t="n">
        <x:f t="shared" si="19">(AB113+H113)*A113</x:f>
        <x:v>0</x:v>
      </x:c>
      <x:c r="AD113" s="28" t="n">
        <x:v>209.26</x:v>
      </x:c>
      <x:c r="AE113" s="28" t="n">
        <x:f t="shared" si="20"/>
        <x:v>62.78</x:v>
      </x:c>
      <x:c r="AF113" s="29" t="n">
        <x:f t="shared" si="21">(AE113+H113)*A113</x:f>
        <x:v>0</x:v>
      </x:c>
    </x:row>
    <x:row r="114" ht="15.75" customHeight="1">
      <x:c r="A114" s="26"/>
      <x:c r="B114" s="27" t="s">
        <x:v>233</x:v>
      </x:c>
      <x:c r="C114" s="27" t="s">
        <x:v>234</x:v>
      </x:c>
      <x:c r="D114" s="28" t="n">
        <x:v>286.28</x:v>
      </x:c>
      <x:c r="E114" s="28" t="n">
        <x:f t="shared" si="1"/>
        <x:v>85.88</x:v>
      </x:c>
      <x:c r="F114" s="28" t="n">
        <x:f t="shared" si="2">E114*A114</x:f>
        <x:v>0</x:v>
      </x:c>
      <x:c r="G114" s="28" t="n">
        <x:v>151.23</x:v>
      </x:c>
      <x:c r="H114" s="28" t="n">
        <x:f t="shared" si="3"/>
        <x:v>45.37</x:v>
      </x:c>
      <x:c r="I114" s="28" t="n">
        <x:v>155.33</x:v>
      </x:c>
      <x:c r="J114" s="28" t="n">
        <x:f t="shared" si="4"/>
        <x:v>46.6</x:v>
      </x:c>
      <x:c r="K114" s="28" t="n">
        <x:f t="shared" si="5">(J114+H114)*A114</x:f>
        <x:v>0</x:v>
      </x:c>
      <x:c r="L114" s="28" t="n">
        <x:v>138.41</x:v>
      </x:c>
      <x:c r="M114" s="28" t="n">
        <x:f t="shared" si="6"/>
        <x:v>35.99</x:v>
      </x:c>
      <x:c r="N114" s="28" t="n">
        <x:f t="shared" si="7">(M114+H114)*A114</x:f>
        <x:v>0</x:v>
      </x:c>
      <x:c r="O114" s="28" t="n">
        <x:v>136.64</x:v>
      </x:c>
      <x:c r="P114" s="28" t="n">
        <x:f t="shared" si="8"/>
        <x:v>40.99</x:v>
      </x:c>
      <x:c r="Q114" s="28" t="n">
        <x:f t="shared" si="9">(P114+H114)*A114</x:f>
        <x:v>0</x:v>
      </x:c>
      <x:c r="R114" s="28" t="n">
        <x:f t="shared" si="25"/>
        <x:v>138.41</x:v>
      </x:c>
      <x:c r="S114" s="28" t="n">
        <x:f t="shared" si="11"/>
        <x:v>41.52</x:v>
      </x:c>
      <x:c r="T114" s="28" t="n">
        <x:f t="shared" si="12">(S114+H114)*A114</x:f>
        <x:v>0</x:v>
      </x:c>
      <x:c r="U114" s="28" t="n">
        <x:f t="shared" si="26"/>
        <x:v>138.41</x:v>
      </x:c>
      <x:c r="V114" s="28" t="n">
        <x:f t="shared" si="14"/>
        <x:v>41.52</x:v>
      </x:c>
      <x:c r="W114" s="28" t="n">
        <x:f t="shared" si="15">(V114+H114)*A114</x:f>
        <x:v>0</x:v>
      </x:c>
      <x:c r="X114" s="28" t="n">
        <x:v>277.25</x:v>
      </x:c>
      <x:c r="Y114" s="28" t="n">
        <x:f t="shared" si="16"/>
        <x:v>83.18</x:v>
      </x:c>
      <x:c r="Z114" s="28" t="n">
        <x:f t="shared" si="17">(Y114+H114)*A114</x:f>
        <x:v>0</x:v>
      </x:c>
      <x:c r="AA114" s="28" t="n">
        <x:v>149.63</x:v>
      </x:c>
      <x:c r="AB114" s="28" t="n">
        <x:f t="shared" si="18"/>
        <x:v>44.89</x:v>
      </x:c>
      <x:c r="AC114" s="28" t="n">
        <x:f t="shared" si="19">(AB114+H114)*A114</x:f>
        <x:v>0</x:v>
      </x:c>
      <x:c r="AD114" s="28" t="n">
        <x:v>164.51</x:v>
      </x:c>
      <x:c r="AE114" s="28" t="n">
        <x:f t="shared" si="20"/>
        <x:v>49.35</x:v>
      </x:c>
      <x:c r="AF114" s="29" t="n">
        <x:f t="shared" si="21">(AE114+H114)*A114</x:f>
        <x:v>0</x:v>
      </x:c>
    </x:row>
    <x:row r="115" ht="15.75" customHeight="1">
      <x:c r="A115" s="26"/>
      <x:c r="B115" s="27" t="s">
        <x:v>235</x:v>
      </x:c>
      <x:c r="C115" s="27" t="s">
        <x:v>236</x:v>
      </x:c>
      <x:c r="D115" s="28" t="n">
        <x:v>351.02</x:v>
      </x:c>
      <x:c r="E115" s="28" t="n">
        <x:f t="shared" si="1"/>
        <x:v>105.31</x:v>
      </x:c>
      <x:c r="F115" s="28" t="n">
        <x:f t="shared" si="2">E115*A115</x:f>
        <x:v>0</x:v>
      </x:c>
      <x:c r="G115" s="28" t="n">
        <x:v>160.41</x:v>
      </x:c>
      <x:c r="H115" s="28" t="n">
        <x:f t="shared" si="3"/>
        <x:v>48.12</x:v>
      </x:c>
      <x:c r="I115" s="28" t="n">
        <x:v>216.02</x:v>
      </x:c>
      <x:c r="J115" s="28" t="n">
        <x:f t="shared" si="4"/>
        <x:v>64.81</x:v>
      </x:c>
      <x:c r="K115" s="28" t="n">
        <x:f t="shared" si="5">(J115+H115)*A115</x:f>
        <x:v>0</x:v>
      </x:c>
      <x:c r="L115" s="28" t="n">
        <x:v>194.7</x:v>
      </x:c>
      <x:c r="M115" s="28" t="n">
        <x:f t="shared" si="6"/>
        <x:v>50.62</x:v>
      </x:c>
      <x:c r="N115" s="28" t="n">
        <x:f t="shared" si="7">(M115+H115)*A115</x:f>
        <x:v>0</x:v>
      </x:c>
      <x:c r="O115" s="28" t="n">
        <x:v>192.19</x:v>
      </x:c>
      <x:c r="P115" s="28" t="n">
        <x:f t="shared" si="8"/>
        <x:v>57.66</x:v>
      </x:c>
      <x:c r="Q115" s="28" t="n">
        <x:f t="shared" si="9">(P115+H115)*A115</x:f>
        <x:v>0</x:v>
      </x:c>
      <x:c r="R115" s="28" t="n">
        <x:f t="shared" si="25"/>
        <x:v>194.7</x:v>
      </x:c>
      <x:c r="S115" s="28" t="n">
        <x:f t="shared" si="11"/>
        <x:v>58.41</x:v>
      </x:c>
      <x:c r="T115" s="28" t="n">
        <x:f t="shared" si="12">(S115+H115)*A115</x:f>
        <x:v>0</x:v>
      </x:c>
      <x:c r="U115" s="28" t="n">
        <x:f t="shared" si="26"/>
        <x:v>194.7</x:v>
      </x:c>
      <x:c r="V115" s="28" t="n">
        <x:f t="shared" si="14"/>
        <x:v>58.41</x:v>
      </x:c>
      <x:c r="W115" s="28" t="n">
        <x:f t="shared" si="15">(V115+H115)*A115</x:f>
        <x:v>0</x:v>
      </x:c>
      <x:c r="X115" s="28" t="n">
        <x:v>323.06</x:v>
      </x:c>
      <x:c r="Y115" s="28" t="n">
        <x:f t="shared" si="16"/>
        <x:v>96.92</x:v>
      </x:c>
      <x:c r="Z115" s="28" t="n">
        <x:f t="shared" si="17">(Y115+H115)*A115</x:f>
        <x:v>0</x:v>
      </x:c>
      <x:c r="AA115" s="28" t="n">
        <x:v>208.1</x:v>
      </x:c>
      <x:c r="AB115" s="28" t="n">
        <x:f t="shared" si="18"/>
        <x:v>62.43</x:v>
      </x:c>
      <x:c r="AC115" s="28" t="n">
        <x:f t="shared" si="19">(AB115+H115)*A115</x:f>
        <x:v>0</x:v>
      </x:c>
      <x:c r="AD115" s="28" t="n">
        <x:v>226.57</x:v>
      </x:c>
      <x:c r="AE115" s="28" t="n">
        <x:f t="shared" si="20"/>
        <x:v>67.97</x:v>
      </x:c>
      <x:c r="AF115" s="29" t="n">
        <x:f t="shared" si="21">(AE115+H115)*A115</x:f>
        <x:v>0</x:v>
      </x:c>
    </x:row>
    <x:row r="116" ht="15.75" customHeight="1">
      <x:c r="A116" s="26"/>
      <x:c r="B116" s="27" t="s">
        <x:v>237</x:v>
      </x:c>
      <x:c r="C116" s="27" t="s">
        <x:v>238</x:v>
      </x:c>
      <x:c r="D116" s="28" t="n">
        <x:v>384.51</x:v>
      </x:c>
      <x:c r="E116" s="28" t="n">
        <x:f t="shared" si="1"/>
        <x:v>115.35</x:v>
      </x:c>
      <x:c r="F116" s="28" t="n">
        <x:f t="shared" si="2">E116*A116</x:f>
        <x:v>0</x:v>
      </x:c>
      <x:c r="G116" s="28" t="n">
        <x:v>195.98</x:v>
      </x:c>
      <x:c r="H116" s="28" t="n">
        <x:f t="shared" si="3"/>
        <x:v>58.79</x:v>
      </x:c>
      <x:c r="I116" s="28" t="n">
        <x:v>216.37</x:v>
      </x:c>
      <x:c r="J116" s="28" t="n">
        <x:f t="shared" si="4"/>
        <x:v>64.91</x:v>
      </x:c>
      <x:c r="K116" s="28" t="n">
        <x:f t="shared" si="5">(J116+H116)*A116</x:f>
        <x:v>0</x:v>
      </x:c>
      <x:c r="L116" s="28" t="n">
        <x:v>192.89</x:v>
      </x:c>
      <x:c r="M116" s="28" t="n">
        <x:f t="shared" si="6"/>
        <x:v>50.15</x:v>
      </x:c>
      <x:c r="N116" s="28" t="n">
        <x:f t="shared" si="7">(M116+H116)*A116</x:f>
        <x:v>0</x:v>
      </x:c>
      <x:c r="O116" s="28" t="n">
        <x:v>190.37</x:v>
      </x:c>
      <x:c r="P116" s="28" t="n">
        <x:f t="shared" si="8"/>
        <x:v>57.11</x:v>
      </x:c>
      <x:c r="Q116" s="28" t="n">
        <x:f t="shared" si="9">(P116+H116)*A116</x:f>
        <x:v>0</x:v>
      </x:c>
      <x:c r="R116" s="28" t="n">
        <x:f t="shared" si="25"/>
        <x:v>192.89</x:v>
      </x:c>
      <x:c r="S116" s="28" t="n">
        <x:f t="shared" si="11"/>
        <x:v>57.87</x:v>
      </x:c>
      <x:c r="T116" s="28" t="n">
        <x:f t="shared" si="12">(S116+H116)*A116</x:f>
        <x:v>0</x:v>
      </x:c>
      <x:c r="U116" s="28" t="n">
        <x:f t="shared" si="26"/>
        <x:v>192.89</x:v>
      </x:c>
      <x:c r="V116" s="28" t="n">
        <x:f t="shared" si="14"/>
        <x:v>57.87</x:v>
      </x:c>
      <x:c r="W116" s="28" t="n">
        <x:f t="shared" si="15">(V116+H116)*A116</x:f>
        <x:v>0</x:v>
      </x:c>
      <x:c r="X116" s="28" t="n">
        <x:v>369.16</x:v>
      </x:c>
      <x:c r="Y116" s="28" t="n">
        <x:f t="shared" si="16"/>
        <x:v>110.75</x:v>
      </x:c>
      <x:c r="Z116" s="28" t="n">
        <x:f t="shared" si="17">(Y116+H116)*A116</x:f>
        <x:v>0</x:v>
      </x:c>
      <x:c r="AA116" s="28" t="n">
        <x:v>212.95</x:v>
      </x:c>
      <x:c r="AB116" s="28" t="n">
        <x:f t="shared" si="18"/>
        <x:v>63.88</x:v>
      </x:c>
      <x:c r="AC116" s="28" t="n">
        <x:f t="shared" si="19">(AB116+H116)*A116</x:f>
        <x:v>0</x:v>
      </x:c>
      <x:c r="AD116" s="28" t="n">
        <x:v>227.78</x:v>
      </x:c>
      <x:c r="AE116" s="28" t="n">
        <x:f t="shared" si="20"/>
        <x:v>68.33</x:v>
      </x:c>
      <x:c r="AF116" s="29" t="n">
        <x:f t="shared" si="21">(AE116+H116)*A116</x:f>
        <x:v>0</x:v>
      </x:c>
    </x:row>
    <x:row r="117" ht="15.75" customHeight="1">
      <x:c r="A117" s="26"/>
      <x:c r="B117" s="27" t="s">
        <x:v>239</x:v>
      </x:c>
      <x:c r="C117" s="27" t="s">
        <x:v>240</x:v>
      </x:c>
      <x:c r="D117" s="28" t="n">
        <x:v>327</x:v>
      </x:c>
      <x:c r="E117" s="28" t="n">
        <x:f t="shared" si="1"/>
        <x:v>98.1</x:v>
      </x:c>
      <x:c r="F117" s="28" t="n">
        <x:f t="shared" si="2">E117*A117</x:f>
        <x:v>0</x:v>
      </x:c>
      <x:c r="G117" s="28" t="n">
        <x:v>175.79</x:v>
      </x:c>
      <x:c r="H117" s="28" t="n">
        <x:f t="shared" si="3"/>
        <x:v>52.74</x:v>
      </x:c>
      <x:c r="I117" s="28" t="n">
        <x:v>174.57</x:v>
      </x:c>
      <x:c r="J117" s="28" t="n">
        <x:f t="shared" si="4"/>
        <x:v>52.37</x:v>
      </x:c>
      <x:c r="K117" s="28" t="n">
        <x:f t="shared" si="5">(J117+H117)*A117</x:f>
        <x:v>0</x:v>
      </x:c>
      <x:c r="L117" s="28" t="n">
        <x:v>154.98</x:v>
      </x:c>
      <x:c r="M117" s="28" t="n">
        <x:f t="shared" si="6"/>
        <x:v>40.29</x:v>
      </x:c>
      <x:c r="N117" s="28" t="n">
        <x:f t="shared" si="7">(M117+H117)*A117</x:f>
        <x:v>0</x:v>
      </x:c>
      <x:c r="O117" s="28" t="n">
        <x:v>153</x:v>
      </x:c>
      <x:c r="P117" s="28" t="n">
        <x:f t="shared" si="8"/>
        <x:v>45.9</x:v>
      </x:c>
      <x:c r="Q117" s="28" t="n">
        <x:f t="shared" si="9">(P117+H117)*A117</x:f>
        <x:v>0</x:v>
      </x:c>
      <x:c r="R117" s="28" t="n">
        <x:f t="shared" si="25"/>
        <x:v>154.98</x:v>
      </x:c>
      <x:c r="S117" s="28" t="n">
        <x:f t="shared" si="11"/>
        <x:v>46.49</x:v>
      </x:c>
      <x:c r="T117" s="28" t="n">
        <x:f t="shared" si="12">(S117+H117)*A117</x:f>
        <x:v>0</x:v>
      </x:c>
      <x:c r="U117" s="28" t="n">
        <x:f t="shared" si="26"/>
        <x:v>154.98</x:v>
      </x:c>
      <x:c r="V117" s="28" t="n">
        <x:f t="shared" si="14"/>
        <x:v>46.49</x:v>
      </x:c>
      <x:c r="W117" s="28" t="n">
        <x:f t="shared" si="15">(V117+H117)*A117</x:f>
        <x:v>0</x:v>
      </x:c>
      <x:c r="X117" s="28" t="n">
        <x:v>346.97</x:v>
      </x:c>
      <x:c r="Y117" s="28" t="n">
        <x:f t="shared" si="16"/>
        <x:v>104.09</x:v>
      </x:c>
      <x:c r="Z117" s="28" t="n">
        <x:f t="shared" si="17">(Y117+H117)*A117</x:f>
        <x:v>0</x:v>
      </x:c>
      <x:c r="AA117" s="28" t="n">
        <x:v>169.78</x:v>
      </x:c>
      <x:c r="AB117" s="28" t="n">
        <x:f t="shared" si="18"/>
        <x:v>50.93</x:v>
      </x:c>
      <x:c r="AC117" s="28" t="n">
        <x:f t="shared" si="19">(AB117+H117)*A117</x:f>
        <x:v>0</x:v>
      </x:c>
      <x:c r="AD117" s="28" t="n">
        <x:v>184.64</x:v>
      </x:c>
      <x:c r="AE117" s="28" t="n">
        <x:f t="shared" si="20"/>
        <x:v>55.39</x:v>
      </x:c>
      <x:c r="AF117" s="29" t="n">
        <x:f t="shared" si="21">(AE117+H117)*A117</x:f>
        <x:v>0</x:v>
      </x:c>
    </x:row>
    <x:row r="118" ht="15.75" customHeight="1">
      <x:c r="A118" s="26"/>
      <x:c r="B118" s="27" t="s">
        <x:v>241</x:v>
      </x:c>
      <x:c r="C118" s="27" t="s">
        <x:v>242</x:v>
      </x:c>
      <x:c r="D118" s="28" t="n">
        <x:v>405.16</x:v>
      </x:c>
      <x:c r="E118" s="28" t="n">
        <x:f t="shared" si="1"/>
        <x:v>121.55</x:v>
      </x:c>
      <x:c r="F118" s="28" t="n">
        <x:f t="shared" si="2">E118*A118</x:f>
        <x:v>0</x:v>
      </x:c>
      <x:c r="G118" s="28" t="n">
        <x:v>181.82</x:v>
      </x:c>
      <x:c r="H118" s="28" t="n">
        <x:f t="shared" si="3"/>
        <x:v>54.55</x:v>
      </x:c>
      <x:c r="I118" s="28" t="n">
        <x:v>252.41</x:v>
      </x:c>
      <x:c r="J118" s="28" t="n">
        <x:f t="shared" si="4"/>
        <x:v>75.72</x:v>
      </x:c>
      <x:c r="K118" s="28" t="n">
        <x:f t="shared" si="5">(J118+H118)*A118</x:f>
        <x:v>0</x:v>
      </x:c>
      <x:c r="L118" s="28" t="n">
        <x:v>228.18</x:v>
      </x:c>
      <x:c r="M118" s="28" t="n">
        <x:f t="shared" si="6"/>
        <x:v>59.33</x:v>
      </x:c>
      <x:c r="N118" s="28" t="n">
        <x:f t="shared" si="7">(M118+H118)*A118</x:f>
        <x:v>0</x:v>
      </x:c>
      <x:c r="O118" s="28" t="n">
        <x:v>215.26</x:v>
      </x:c>
      <x:c r="P118" s="28" t="n">
        <x:f t="shared" si="8"/>
        <x:v>64.58</x:v>
      </x:c>
      <x:c r="Q118" s="28" t="n">
        <x:f t="shared" si="9">(P118+H118)*A118</x:f>
        <x:v>0</x:v>
      </x:c>
      <x:c r="R118" s="28" t="n">
        <x:f t="shared" si="25"/>
        <x:v>228.18</x:v>
      </x:c>
      <x:c r="S118" s="28" t="n">
        <x:f t="shared" si="11"/>
        <x:v>68.46</x:v>
      </x:c>
      <x:c r="T118" s="28" t="n">
        <x:f t="shared" si="12">(S118+H118)*A118</x:f>
        <x:v>0</x:v>
      </x:c>
      <x:c r="U118" s="28" t="n">
        <x:f t="shared" si="26"/>
        <x:v>228.18</x:v>
      </x:c>
      <x:c r="V118" s="28" t="n">
        <x:f t="shared" si="14"/>
        <x:v>68.46</x:v>
      </x:c>
      <x:c r="W118" s="28" t="n">
        <x:f t="shared" si="15">(V118+H118)*A118</x:f>
        <x:v>0</x:v>
      </x:c>
      <x:c r="X118" s="28" t="n">
        <x:v>406.57</x:v>
      </x:c>
      <x:c r="Y118" s="28" t="n">
        <x:f t="shared" si="16"/>
        <x:v>121.97</x:v>
      </x:c>
      <x:c r="Z118" s="28" t="n">
        <x:f t="shared" si="17">(Y118+H118)*A118</x:f>
        <x:v>0</x:v>
      </x:c>
      <x:c r="AA118" s="28" t="n">
        <x:v>233.18</x:v>
      </x:c>
      <x:c r="AB118" s="28" t="n">
        <x:f t="shared" si="18"/>
        <x:v>69.95</x:v>
      </x:c>
      <x:c r="AC118" s="28" t="n">
        <x:f t="shared" si="19">(AB118+H118)*A118</x:f>
        <x:v>0</x:v>
      </x:c>
      <x:c r="AD118" s="28" t="n">
        <x:v>261.23</x:v>
      </x:c>
      <x:c r="AE118" s="28" t="n">
        <x:f t="shared" si="20"/>
        <x:v>78.37</x:v>
      </x:c>
      <x:c r="AF118" s="29" t="n">
        <x:f t="shared" si="21">(AE118+H118)*A118</x:f>
        <x:v>0</x:v>
      </x:c>
    </x:row>
    <x:row r="119" ht="15.75" customHeight="1">
      <x:c r="A119" s="26"/>
      <x:c r="B119" s="27" t="s">
        <x:v>243</x:v>
      </x:c>
      <x:c r="C119" s="27" t="s">
        <x:v>244</x:v>
      </x:c>
      <x:c r="D119" s="28" t="n">
        <x:v>441.47</x:v>
      </x:c>
      <x:c r="E119" s="28" t="n">
        <x:f t="shared" si="1"/>
        <x:v>132.44</x:v>
      </x:c>
      <x:c r="F119" s="28" t="n">
        <x:f t="shared" si="2">E119*A119</x:f>
        <x:v>0</x:v>
      </x:c>
      <x:c r="G119" s="28" t="n">
        <x:v>228.51</x:v>
      </x:c>
      <x:c r="H119" s="28" t="n">
        <x:f t="shared" si="3"/>
        <x:v>68.55</x:v>
      </x:c>
      <x:c r="I119" s="28" t="n">
        <x:v>244.08</x:v>
      </x:c>
      <x:c r="J119" s="28" t="n">
        <x:f t="shared" si="4"/>
        <x:v>73.23</x:v>
      </x:c>
      <x:c r="K119" s="28" t="n">
        <x:f t="shared" si="5">(J119+H119)*A119</x:f>
        <x:v>0</x:v>
      </x:c>
      <x:c r="L119" s="28" t="n">
        <x:v>218.06</x:v>
      </x:c>
      <x:c r="M119" s="28" t="n">
        <x:f t="shared" si="6"/>
        <x:v>56.69</x:v>
      </x:c>
      <x:c r="N119" s="28" t="n">
        <x:f t="shared" si="7">(M119+H119)*A119</x:f>
        <x:v>0</x:v>
      </x:c>
      <x:c r="O119" s="28" t="n">
        <x:v>225.26</x:v>
      </x:c>
      <x:c r="P119" s="28" t="n">
        <x:f t="shared" si="8"/>
        <x:v>67.58</x:v>
      </x:c>
      <x:c r="Q119" s="28" t="n">
        <x:f t="shared" si="9">(P119+H119)*A119</x:f>
        <x:v>0</x:v>
      </x:c>
      <x:c r="R119" s="28" t="n">
        <x:f t="shared" si="25"/>
        <x:v>218.06</x:v>
      </x:c>
      <x:c r="S119" s="28" t="n">
        <x:f t="shared" si="11"/>
        <x:v>65.42</x:v>
      </x:c>
      <x:c r="T119" s="28" t="n">
        <x:f t="shared" si="12">(S119+H119)*A119</x:f>
        <x:v>0</x:v>
      </x:c>
      <x:c r="U119" s="28" t="n">
        <x:f t="shared" si="26"/>
        <x:v>218.06</x:v>
      </x:c>
      <x:c r="V119" s="28" t="n">
        <x:f t="shared" si="14"/>
        <x:v>65.42</x:v>
      </x:c>
      <x:c r="W119" s="28" t="n">
        <x:f t="shared" si="15">(V119+H119)*A119</x:f>
        <x:v>0</x:v>
      </x:c>
      <x:c r="X119" s="28" t="n">
        <x:v>466.57</x:v>
      </x:c>
      <x:c r="Y119" s="28" t="n">
        <x:f t="shared" si="16"/>
        <x:v>139.97</x:v>
      </x:c>
      <x:c r="Z119" s="28" t="n">
        <x:f t="shared" si="17">(Y119+H119)*A119</x:f>
        <x:v>0</x:v>
      </x:c>
      <x:c r="AA119" s="28" t="n">
        <x:v>246.36</x:v>
      </x:c>
      <x:c r="AB119" s="28" t="n">
        <x:f t="shared" si="18"/>
        <x:v>73.91</x:v>
      </x:c>
      <x:c r="AC119" s="28" t="n">
        <x:f t="shared" si="19">(AB119+H119)*A119</x:f>
        <x:v>0</x:v>
      </x:c>
      <x:c r="AD119" s="28" t="n">
        <x:v>265.22</x:v>
      </x:c>
      <x:c r="AE119" s="28" t="n">
        <x:f t="shared" si="20"/>
        <x:v>79.57</x:v>
      </x:c>
      <x:c r="AF119" s="29" t="n">
        <x:f t="shared" si="21">(AE119+H119)*A119</x:f>
        <x:v>0</x:v>
      </x:c>
    </x:row>
    <x:row r="120" ht="15.75" customHeight="1">
      <x:c r="A120" s="26"/>
      <x:c r="B120" s="27" t="s">
        <x:v>245</x:v>
      </x:c>
      <x:c r="C120" s="27" t="s">
        <x:v>246</x:v>
      </x:c>
      <x:c r="D120" s="28" t="n">
        <x:v>390.81</x:v>
      </x:c>
      <x:c r="E120" s="28" t="n">
        <x:f t="shared" si="1"/>
        <x:v>117.24</x:v>
      </x:c>
      <x:c r="F120" s="28" t="n">
        <x:f t="shared" si="2">E120*A120</x:f>
        <x:v>0</x:v>
      </x:c>
      <x:c r="G120" s="28" t="n">
        <x:v>184.85</x:v>
      </x:c>
      <x:c r="H120" s="28" t="n">
        <x:f t="shared" si="3"/>
        <x:v>55.45</x:v>
      </x:c>
      <x:c r="I120" s="28" t="n">
        <x:v>222.81</x:v>
      </x:c>
      <x:c r="J120" s="28" t="n">
        <x:f t="shared" si="4"/>
        <x:v>66.84</x:v>
      </x:c>
      <x:c r="K120" s="28" t="n">
        <x:f t="shared" si="5">(J120+H120)*A120</x:f>
        <x:v>0</x:v>
      </x:c>
      <x:c r="L120" s="28" t="n">
        <x:v>209.86</x:v>
      </x:c>
      <x:c r="M120" s="28" t="n">
        <x:f t="shared" si="6"/>
        <x:v>54.56</x:v>
      </x:c>
      <x:c r="N120" s="28" t="n">
        <x:f t="shared" si="7">(M120+H120)*A120</x:f>
        <x:v>0</x:v>
      </x:c>
      <x:c r="O120" s="28" t="n">
        <x:v>207.15</x:v>
      </x:c>
      <x:c r="P120" s="28" t="n">
        <x:f t="shared" si="8"/>
        <x:v>62.15</x:v>
      </x:c>
      <x:c r="Q120" s="28" t="n">
        <x:f t="shared" si="9">(P120+H120)*A120</x:f>
        <x:v>0</x:v>
      </x:c>
      <x:c r="R120" s="28" t="n">
        <x:f t="shared" si="25"/>
        <x:v>209.86</x:v>
      </x:c>
      <x:c r="S120" s="28" t="n">
        <x:f t="shared" si="11"/>
        <x:v>62.96</x:v>
      </x:c>
      <x:c r="T120" s="28" t="n">
        <x:f t="shared" si="12">(S120+H120)*A120</x:f>
        <x:v>0</x:v>
      </x:c>
      <x:c r="U120" s="28" t="n">
        <x:f t="shared" si="26"/>
        <x:v>209.86</x:v>
      </x:c>
      <x:c r="V120" s="28" t="n">
        <x:f t="shared" si="14"/>
        <x:v>62.96</x:v>
      </x:c>
      <x:c r="W120" s="28" t="n">
        <x:f t="shared" si="15">(V120+H120)*A120</x:f>
        <x:v>0</x:v>
      </x:c>
      <x:c r="X120" s="28" t="n">
        <x:v>375.58</x:v>
      </x:c>
      <x:c r="Y120" s="28" t="n">
        <x:f t="shared" si="16"/>
        <x:v>112.68</x:v>
      </x:c>
      <x:c r="Z120" s="28" t="n">
        <x:f t="shared" si="17">(Y120+H120)*A120</x:f>
        <x:v>0</x:v>
      </x:c>
      <x:c r="AA120" s="28" t="n">
        <x:v>216.78</x:v>
      </x:c>
      <x:c r="AB120" s="28" t="n">
        <x:f t="shared" si="18"/>
        <x:v>65.03</x:v>
      </x:c>
      <x:c r="AC120" s="28" t="n">
        <x:f t="shared" si="19">(AB120+H120)*A120</x:f>
        <x:v>0</x:v>
      </x:c>
      <x:c r="AD120" s="28" t="n">
        <x:v>238.61</x:v>
      </x:c>
      <x:c r="AE120" s="28" t="n">
        <x:f t="shared" si="20"/>
        <x:v>71.58</x:v>
      </x:c>
      <x:c r="AF120" s="29" t="n">
        <x:f t="shared" si="21">(AE120+H120)*A120</x:f>
        <x:v>0</x:v>
      </x:c>
    </x:row>
    <x:row r="121" ht="15.75" customHeight="1">
      <x:c r="A121" s="26"/>
      <x:c r="B121" s="27" t="s">
        <x:v>247</x:v>
      </x:c>
      <x:c r="C121" s="27" t="s">
        <x:v>248</x:v>
      </x:c>
      <x:c r="D121" s="28" t="n">
        <x:v>434.29</x:v>
      </x:c>
      <x:c r="E121" s="28" t="n">
        <x:f t="shared" si="1"/>
        <x:v>130.29</x:v>
      </x:c>
      <x:c r="F121" s="28" t="n">
        <x:f t="shared" si="2">E121*A121</x:f>
        <x:v>0</x:v>
      </x:c>
      <x:c r="G121" s="28" t="n">
        <x:v>201.48</x:v>
      </x:c>
      <x:c r="H121" s="28" t="n">
        <x:f t="shared" si="3"/>
        <x:v>60.44</x:v>
      </x:c>
      <x:c r="I121" s="28" t="n">
        <x:v>264.22</x:v>
      </x:c>
      <x:c r="J121" s="28" t="n">
        <x:f t="shared" si="4"/>
        <x:v>79.26</x:v>
      </x:c>
      <x:c r="K121" s="28" t="n">
        <x:f t="shared" si="5">(J121+H121)*A121</x:f>
        <x:v>0</x:v>
      </x:c>
      <x:c r="L121" s="28" t="n">
        <x:v>238.11</x:v>
      </x:c>
      <x:c r="M121" s="28" t="n">
        <x:f t="shared" si="6"/>
        <x:v>61.91</x:v>
      </x:c>
      <x:c r="N121" s="28" t="n">
        <x:f t="shared" si="7">(M121+H121)*A121</x:f>
        <x:v>0</x:v>
      </x:c>
      <x:c r="O121" s="28" t="n">
        <x:v>235.05</x:v>
      </x:c>
      <x:c r="P121" s="28" t="n">
        <x:f t="shared" si="8"/>
        <x:v>70.51</x:v>
      </x:c>
      <x:c r="Q121" s="28" t="n">
        <x:f t="shared" si="9">(P121+H121)*A121</x:f>
        <x:v>0</x:v>
      </x:c>
      <x:c r="R121" s="28" t="n">
        <x:f t="shared" si="25"/>
        <x:v>238.11</x:v>
      </x:c>
      <x:c r="S121" s="28" t="n">
        <x:f t="shared" si="11"/>
        <x:v>71.43</x:v>
      </x:c>
      <x:c r="T121" s="28" t="n">
        <x:f t="shared" si="12">(S121+H121)*A121</x:f>
        <x:v>0</x:v>
      </x:c>
      <x:c r="U121" s="28" t="n">
        <x:f t="shared" si="26"/>
        <x:v>238.11</x:v>
      </x:c>
      <x:c r="V121" s="28" t="n">
        <x:f t="shared" si="14"/>
        <x:v>71.43</x:v>
      </x:c>
      <x:c r="W121" s="28" t="n">
        <x:f t="shared" si="15">(V121+H121)*A121</x:f>
        <x:v>0</x:v>
      </x:c>
      <x:c r="X121" s="28" t="n">
        <x:v>439.22</x:v>
      </x:c>
      <x:c r="Y121" s="28" t="n">
        <x:f t="shared" si="16"/>
        <x:v>131.77</x:v>
      </x:c>
      <x:c r="Z121" s="28" t="n">
        <x:f t="shared" si="17">(Y121+H121)*A121</x:f>
        <x:v>0</x:v>
      </x:c>
      <x:c r="AA121" s="28" t="n">
        <x:v>258.91</x:v>
      </x:c>
      <x:c r="AB121" s="28" t="n">
        <x:f t="shared" si="18"/>
        <x:v>77.67</x:v>
      </x:c>
      <x:c r="AC121" s="28" t="n">
        <x:f t="shared" si="19">(AB121+H121)*A121</x:f>
        <x:v>0</x:v>
      </x:c>
      <x:c r="AD121" s="28" t="n">
        <x:v>277.29</x:v>
      </x:c>
      <x:c r="AE121" s="28" t="n">
        <x:f t="shared" si="20"/>
        <x:v>83.19</x:v>
      </x:c>
      <x:c r="AF121" s="29" t="n">
        <x:f t="shared" si="21">(AE121+H121)*A121</x:f>
        <x:v>0</x:v>
      </x:c>
    </x:row>
    <x:row r="122" ht="15.75" customHeight="1">
      <x:c r="A122" s="26"/>
      <x:c r="B122" s="27" t="s">
        <x:v>249</x:v>
      </x:c>
      <x:c r="C122" s="27" t="s">
        <x:v>250</x:v>
      </x:c>
      <x:c r="D122" s="28" t="n">
        <x:v>488.43</x:v>
      </x:c>
      <x:c r="E122" s="28" t="n">
        <x:f t="shared" si="1"/>
        <x:v>146.53</x:v>
      </x:c>
      <x:c r="F122" s="28" t="n">
        <x:f t="shared" si="2">E122*A122</x:f>
        <x:v>0</x:v>
      </x:c>
      <x:c r="G122" s="28" t="n">
        <x:v>242.2</x:v>
      </x:c>
      <x:c r="H122" s="28" t="n">
        <x:f t="shared" si="3"/>
        <x:v>72.66</x:v>
      </x:c>
      <x:c r="I122" s="28" t="n">
        <x:v>281.18</x:v>
      </x:c>
      <x:c r="J122" s="28" t="n">
        <x:f t="shared" si="4"/>
        <x:v>84.35</x:v>
      </x:c>
      <x:c r="K122" s="28" t="n">
        <x:f t="shared" si="5">(J122+H122)*A122</x:f>
        <x:v>0</x:v>
      </x:c>
      <x:c r="L122" s="28" t="n">
        <x:v>252</x:v>
      </x:c>
      <x:c r="M122" s="28" t="n">
        <x:f t="shared" si="6"/>
        <x:v>65.52</x:v>
      </x:c>
      <x:c r="N122" s="28" t="n">
        <x:f t="shared" si="7">(M122+H122)*A122</x:f>
        <x:v>0</x:v>
      </x:c>
      <x:c r="O122" s="28" t="n">
        <x:v>248.74</x:v>
      </x:c>
      <x:c r="P122" s="28" t="n">
        <x:f t="shared" si="8"/>
        <x:v>74.62</x:v>
      </x:c>
      <x:c r="Q122" s="28" t="n">
        <x:f t="shared" si="9">(P122+H122)*A122</x:f>
        <x:v>0</x:v>
      </x:c>
      <x:c r="R122" s="28" t="n">
        <x:f t="shared" si="25"/>
        <x:v>252</x:v>
      </x:c>
      <x:c r="S122" s="28" t="n">
        <x:f t="shared" si="11"/>
        <x:v>75.6</x:v>
      </x:c>
      <x:c r="T122" s="28" t="n">
        <x:f t="shared" si="12">(S122+H122)*A122</x:f>
        <x:v>0</x:v>
      </x:c>
      <x:c r="U122" s="28" t="n">
        <x:f t="shared" si="26"/>
        <x:v>252</x:v>
      </x:c>
      <x:c r="V122" s="28" t="n">
        <x:f t="shared" si="14"/>
        <x:v>75.6</x:v>
      </x:c>
      <x:c r="W122" s="28" t="n">
        <x:f t="shared" si="15">(V122+H122)*A122</x:f>
        <x:v>0</x:v>
      </x:c>
      <x:c r="X122" s="28" t="n">
        <x:v>503.29</x:v>
      </x:c>
      <x:c r="Y122" s="28" t="n">
        <x:f t="shared" si="16"/>
        <x:v>150.99</x:v>
      </x:c>
      <x:c r="Z122" s="28" t="n">
        <x:f t="shared" si="17">(Y122+H122)*A122</x:f>
        <x:v>0</x:v>
      </x:c>
      <x:c r="AA122" s="28" t="n">
        <x:v>270.24</x:v>
      </x:c>
      <x:c r="AB122" s="28" t="n">
        <x:f t="shared" si="18"/>
        <x:v>81.07</x:v>
      </x:c>
      <x:c r="AC122" s="28" t="n">
        <x:f t="shared" si="19">(AB122+H122)*A122</x:f>
        <x:v>0</x:v>
      </x:c>
      <x:c r="AD122" s="28" t="n">
        <x:v>295.54</x:v>
      </x:c>
      <x:c r="AE122" s="28" t="n">
        <x:f t="shared" si="20"/>
        <x:v>88.66</x:v>
      </x:c>
      <x:c r="AF122" s="29" t="n">
        <x:f t="shared" si="21">(AE122+H122)*A122</x:f>
        <x:v>0</x:v>
      </x:c>
    </x:row>
    <x:row r="123" ht="15.75" customHeight="1">
      <x:c r="A123" s="26"/>
      <x:c r="B123" s="27" t="s">
        <x:v>251</x:v>
      </x:c>
      <x:c r="C123" s="27" t="s">
        <x:v>252</x:v>
      </x:c>
      <x:c r="D123" s="28" t="n">
        <x:v>210.8</x:v>
      </x:c>
      <x:c r="E123" s="28" t="n">
        <x:f t="shared" si="1"/>
        <x:v>63.24</x:v>
      </x:c>
      <x:c r="F123" s="28" t="n">
        <x:f t="shared" si="2">E123*A123</x:f>
        <x:v>0</x:v>
      </x:c>
      <x:c r="G123" s="28" t="n">
        <x:v>104.67</x:v>
      </x:c>
      <x:c r="H123" s="28" t="n">
        <x:f t="shared" si="3"/>
        <x:v>31.4</x:v>
      </x:c>
      <x:c r="I123" s="28" t="n">
        <x:v>121.51</x:v>
      </x:c>
      <x:c r="J123" s="28" t="n">
        <x:f t="shared" si="4"/>
        <x:v>36.45</x:v>
      </x:c>
      <x:c r="K123" s="28" t="n">
        <x:f t="shared" si="5">(J123+H123)*A123</x:f>
        <x:v>0</x:v>
      </x:c>
      <x:c r="L123" s="28" t="n">
        <x:v>108.7</x:v>
      </x:c>
      <x:c r="M123" s="28" t="n">
        <x:f t="shared" si="6"/>
        <x:v>28.26</x:v>
      </x:c>
      <x:c r="N123" s="28" t="n">
        <x:f t="shared" si="7">(M123+H123)*A123</x:f>
        <x:v>0</x:v>
      </x:c>
      <x:c r="O123" s="28" t="n">
        <x:v>107.29</x:v>
      </x:c>
      <x:c r="P123" s="28" t="n">
        <x:f t="shared" si="8"/>
        <x:v>32.19</x:v>
      </x:c>
      <x:c r="Q123" s="28" t="n">
        <x:f t="shared" si="9">(P123+H123)*A123</x:f>
        <x:v>0</x:v>
      </x:c>
      <x:c r="R123" s="28" t="n">
        <x:f t="shared" si="25"/>
        <x:v>108.7</x:v>
      </x:c>
      <x:c r="S123" s="28" t="n">
        <x:f t="shared" si="11"/>
        <x:v>32.61</x:v>
      </x:c>
      <x:c r="T123" s="28" t="n">
        <x:f t="shared" si="12">(S123+H123)*A123</x:f>
        <x:v>0</x:v>
      </x:c>
      <x:c r="U123" s="28" t="n">
        <x:f t="shared" si="26"/>
        <x:v>108.7</x:v>
      </x:c>
      <x:c r="V123" s="28" t="n">
        <x:f t="shared" si="14"/>
        <x:v>32.61</x:v>
      </x:c>
      <x:c r="W123" s="28" t="n">
        <x:f t="shared" si="15">(V123+H123)*A123</x:f>
        <x:v>0</x:v>
      </x:c>
      <x:c r="X123" s="28" t="n">
        <x:v>200.71</x:v>
      </x:c>
      <x:c r="Y123" s="28" t="n">
        <x:f t="shared" si="16"/>
        <x:v>60.21</x:v>
      </x:c>
      <x:c r="Z123" s="28" t="n">
        <x:f t="shared" si="17">(Y123+H123)*A123</x:f>
        <x:v>0</x:v>
      </x:c>
      <x:c r="AA123" s="28" t="n">
        <x:v>118.99</x:v>
      </x:c>
      <x:c r="AB123" s="28" t="n">
        <x:f t="shared" si="18"/>
        <x:v>35.7</x:v>
      </x:c>
      <x:c r="AC123" s="28" t="n">
        <x:f t="shared" si="19">(AB123+H123)*A123</x:f>
        <x:v>0</x:v>
      </x:c>
      <x:c r="AD123" s="28" t="n">
        <x:v>127.55</x:v>
      </x:c>
      <x:c r="AE123" s="28" t="n">
        <x:f t="shared" si="20"/>
        <x:v>38.26</x:v>
      </x:c>
      <x:c r="AF123" s="29" t="n">
        <x:f t="shared" si="21">(AE123+H123)*A123</x:f>
        <x:v>0</x:v>
      </x:c>
    </x:row>
    <x:row r="124" ht="15.75" customHeight="1">
      <x:c r="A124" s="26"/>
      <x:c r="B124" s="27" t="s">
        <x:v>253</x:v>
      </x:c>
      <x:c r="C124" s="27" t="s">
        <x:v>254</x:v>
      </x:c>
      <x:c r="D124" s="28" t="n">
        <x:v>242.47</x:v>
      </x:c>
      <x:c r="E124" s="28" t="n">
        <x:f t="shared" si="1"/>
        <x:v>72.74</x:v>
      </x:c>
      <x:c r="F124" s="28" t="n">
        <x:f t="shared" si="2">E124*A124</x:f>
        <x:v>0</x:v>
      </x:c>
      <x:c r="G124" s="28" t="n">
        <x:v>113.25</x:v>
      </x:c>
      <x:c r="H124" s="28" t="n">
        <x:f t="shared" si="3"/>
        <x:v>33.98</x:v>
      </x:c>
      <x:c r="I124" s="28" t="n">
        <x:v>146.6</x:v>
      </x:c>
      <x:c r="J124" s="28" t="n">
        <x:f t="shared" si="4"/>
        <x:v>43.98</x:v>
      </x:c>
      <x:c r="K124" s="28" t="n">
        <x:f t="shared" si="5">(J124+H124)*A124</x:f>
        <x:v>0</x:v>
      </x:c>
      <x:c r="L124" s="28" t="n">
        <x:v>131.84</x:v>
      </x:c>
      <x:c r="M124" s="28" t="n">
        <x:f t="shared" si="6"/>
        <x:v>34.28</x:v>
      </x:c>
      <x:c r="N124" s="28" t="n">
        <x:f t="shared" si="7">(M124+H124)*A124</x:f>
        <x:v>0</x:v>
      </x:c>
      <x:c r="O124" s="28" t="n">
        <x:v>130.13</x:v>
      </x:c>
      <x:c r="P124" s="28" t="n">
        <x:f t="shared" si="8"/>
        <x:v>39.04</x:v>
      </x:c>
      <x:c r="Q124" s="28" t="n">
        <x:f t="shared" si="9">(P124+H124)*A124</x:f>
        <x:v>0</x:v>
      </x:c>
      <x:c r="R124" s="28" t="n">
        <x:f t="shared" si="25"/>
        <x:v>131.84</x:v>
      </x:c>
      <x:c r="S124" s="28" t="n">
        <x:f t="shared" si="11"/>
        <x:v>39.55</x:v>
      </x:c>
      <x:c r="T124" s="28" t="n">
        <x:f t="shared" si="12">(S124+H124)*A124</x:f>
        <x:v>0</x:v>
      </x:c>
      <x:c r="U124" s="28" t="n">
        <x:f t="shared" si="26"/>
        <x:v>131.84</x:v>
      </x:c>
      <x:c r="V124" s="28" t="n">
        <x:f t="shared" si="14"/>
        <x:v>39.55</x:v>
      </x:c>
      <x:c r="W124" s="28" t="n">
        <x:f t="shared" si="15">(V124+H124)*A124</x:f>
        <x:v>0</x:v>
      </x:c>
      <x:c r="X124" s="28" t="n">
        <x:v>234.55</x:v>
      </x:c>
      <x:c r="Y124" s="28" t="n">
        <x:f t="shared" si="16"/>
        <x:v>70.36</x:v>
      </x:c>
      <x:c r="Z124" s="28" t="n">
        <x:f t="shared" si="17">(Y124+H124)*A124</x:f>
        <x:v>0</x:v>
      </x:c>
      <x:c r="AA124" s="28" t="n">
        <x:v>140.42</x:v>
      </x:c>
      <x:c r="AB124" s="28" t="n">
        <x:f t="shared" si="18"/>
        <x:v>42.13</x:v>
      </x:c>
      <x:c r="AC124" s="28" t="n">
        <x:f t="shared" si="19">(AB124+H124)*A124</x:f>
        <x:v>0</x:v>
      </x:c>
      <x:c r="AD124" s="28" t="n">
        <x:v>153.98</x:v>
      </x:c>
      <x:c r="AE124" s="28" t="n">
        <x:f t="shared" si="20"/>
        <x:v>46.19</x:v>
      </x:c>
      <x:c r="AF124" s="29" t="n">
        <x:f t="shared" si="21">(AE124+H124)*A124</x:f>
        <x:v>0</x:v>
      </x:c>
    </x:row>
    <x:row r="125" ht="15.75" customHeight="1">
      <x:c r="A125" s="26"/>
      <x:c r="B125" s="27" t="s">
        <x:v>255</x:v>
      </x:c>
      <x:c r="C125" s="27" t="s">
        <x:v>256</x:v>
      </x:c>
      <x:c r="D125" s="28" t="n">
        <x:v>273.06</x:v>
      </x:c>
      <x:c r="E125" s="28" t="n">
        <x:f t="shared" si="1"/>
        <x:v>81.92</x:v>
      </x:c>
      <x:c r="F125" s="28" t="n">
        <x:f t="shared" si="2">E125*A125</x:f>
        <x:v>0</x:v>
      </x:c>
      <x:c r="G125" s="28" t="n">
        <x:v>124.8</x:v>
      </x:c>
      <x:c r="H125" s="28" t="n">
        <x:f t="shared" si="3"/>
        <x:v>37.44</x:v>
      </x:c>
      <x:c r="I125" s="28" t="n">
        <x:v>168.33</x:v>
      </x:c>
      <x:c r="J125" s="28" t="n">
        <x:f t="shared" si="4"/>
        <x:v>50.5</x:v>
      </x:c>
      <x:c r="K125" s="28" t="n">
        <x:f t="shared" si="5">(J125+H125)*A125</x:f>
        <x:v>0</x:v>
      </x:c>
      <x:c r="L125" s="28" t="n">
        <x:v>151.29</x:v>
      </x:c>
      <x:c r="M125" s="28" t="n">
        <x:f t="shared" si="6"/>
        <x:v>39.34</x:v>
      </x:c>
      <x:c r="N125" s="28" t="n">
        <x:f t="shared" si="7">(M125+H125)*A125</x:f>
        <x:v>0</x:v>
      </x:c>
      <x:c r="O125" s="28" t="n">
        <x:v>149.37</x:v>
      </x:c>
      <x:c r="P125" s="28" t="n">
        <x:f t="shared" si="8"/>
        <x:v>44.81</x:v>
      </x:c>
      <x:c r="Q125" s="28" t="n">
        <x:f t="shared" si="9">(P125+H125)*A125</x:f>
        <x:v>0</x:v>
      </x:c>
      <x:c r="R125" s="28" t="n">
        <x:f t="shared" si="25"/>
        <x:v>151.29</x:v>
      </x:c>
      <x:c r="S125" s="28" t="n">
        <x:f t="shared" si="11"/>
        <x:v>45.39</x:v>
      </x:c>
      <x:c r="T125" s="28" t="n">
        <x:f t="shared" si="12">(S125+H125)*A125</x:f>
        <x:v>0</x:v>
      </x:c>
      <x:c r="U125" s="28" t="n">
        <x:f t="shared" si="26"/>
        <x:v>151.29</x:v>
      </x:c>
      <x:c r="V125" s="28" t="n">
        <x:f t="shared" si="14"/>
        <x:v>45.39</x:v>
      </x:c>
      <x:c r="W125" s="28" t="n">
        <x:f t="shared" si="15">(V125+H125)*A125</x:f>
        <x:v>0</x:v>
      </x:c>
      <x:c r="X125" s="28" t="n">
        <x:v>268.39</x:v>
      </x:c>
      <x:c r="Y125" s="28" t="n">
        <x:f t="shared" si="16"/>
        <x:v>80.52</x:v>
      </x:c>
      <x:c r="Z125" s="28" t="n">
        <x:f t="shared" si="17">(Y125+H125)*A125</x:f>
        <x:v>0</x:v>
      </x:c>
      <x:c r="AA125" s="28" t="n">
        <x:v>163.44</x:v>
      </x:c>
      <x:c r="AB125" s="28" t="n">
        <x:f t="shared" si="18"/>
        <x:v>49.03</x:v>
      </x:c>
      <x:c r="AC125" s="28" t="n">
        <x:f t="shared" si="19">(AB125+H125)*A125</x:f>
        <x:v>0</x:v>
      </x:c>
      <x:c r="AD125" s="28" t="n">
        <x:v>176.31</x:v>
      </x:c>
      <x:c r="AE125" s="28" t="n">
        <x:f t="shared" si="20"/>
        <x:v>52.89</x:v>
      </x:c>
      <x:c r="AF125" s="29" t="n">
        <x:f t="shared" si="21">(AE125+H125)*A125</x:f>
        <x:v>0</x:v>
      </x:c>
    </x:row>
    <x:row r="126" ht="15.75" customHeight="1">
      <x:c r="A126" s="26"/>
      <x:c r="B126" s="27" t="s">
        <x:v>257</x:v>
      </x:c>
      <x:c r="C126" s="27" t="s">
        <x:v>258</x:v>
      </x:c>
      <x:c r="D126" s="28" t="n">
        <x:v>291.45</x:v>
      </x:c>
      <x:c r="E126" s="28" t="n">
        <x:f t="shared" si="1"/>
        <x:v>87.43</x:v>
      </x:c>
      <x:c r="F126" s="28" t="n">
        <x:f t="shared" si="2">E126*A126</x:f>
        <x:v>0</x:v>
      </x:c>
      <x:c r="G126" s="28" t="n">
        <x:v>131.5</x:v>
      </x:c>
      <x:c r="H126" s="28" t="n">
        <x:f t="shared" si="3"/>
        <x:v>39.45</x:v>
      </x:c>
      <x:c r="I126" s="28" t="n">
        <x:v>181.15</x:v>
      </x:c>
      <x:c r="J126" s="28" t="n">
        <x:f t="shared" si="4"/>
        <x:v>54.34</x:v>
      </x:c>
      <x:c r="K126" s="28" t="n">
        <x:f t="shared" si="5">(J126+H126)*A126</x:f>
        <x:v>0</x:v>
      </x:c>
      <x:c r="L126" s="28" t="n">
        <x:v>163.38</x:v>
      </x:c>
      <x:c r="M126" s="28" t="n">
        <x:f t="shared" si="6"/>
        <x:v>42.48</x:v>
      </x:c>
      <x:c r="N126" s="28" t="n">
        <x:f t="shared" si="7">(M126+H126)*A126</x:f>
        <x:v>0</x:v>
      </x:c>
      <x:c r="O126" s="28" t="n">
        <x:v>161.24</x:v>
      </x:c>
      <x:c r="P126" s="28" t="n">
        <x:f t="shared" si="8"/>
        <x:v>48.37</x:v>
      </x:c>
      <x:c r="Q126" s="28" t="n">
        <x:f t="shared" si="9">(P126+H126)*A126</x:f>
        <x:v>0</x:v>
      </x:c>
      <x:c r="R126" s="28" t="n">
        <x:f t="shared" si="25"/>
        <x:v>163.38</x:v>
      </x:c>
      <x:c r="S126" s="28" t="n">
        <x:f t="shared" si="11"/>
        <x:v>49.01</x:v>
      </x:c>
      <x:c r="T126" s="28" t="n">
        <x:f t="shared" si="12">(S126+H126)*A126</x:f>
        <x:v>0</x:v>
      </x:c>
      <x:c r="U126" s="28" t="n">
        <x:f t="shared" si="26"/>
        <x:v>163.38</x:v>
      </x:c>
      <x:c r="V126" s="28" t="n">
        <x:f t="shared" si="14"/>
        <x:v>49.01</x:v>
      </x:c>
      <x:c r="W126" s="28" t="n">
        <x:f t="shared" si="15">(V126+H126)*A126</x:f>
        <x:v>0</x:v>
      </x:c>
      <x:c r="X126" s="28" t="n">
        <x:v>302.23</x:v>
      </x:c>
      <x:c r="Y126" s="28" t="n">
        <x:f t="shared" si="16"/>
        <x:v>90.67</x:v>
      </x:c>
      <x:c r="Z126" s="28" t="n">
        <x:f t="shared" si="17">(Y126+H126)*A126</x:f>
        <x:v>0</x:v>
      </x:c>
      <x:c r="AA126" s="28" t="n">
        <x:v>175.76</x:v>
      </x:c>
      <x:c r="AB126" s="28" t="n">
        <x:f t="shared" si="18"/>
        <x:v>52.73</x:v>
      </x:c>
      <x:c r="AC126" s="28" t="n">
        <x:f t="shared" si="19">(AB126+H126)*A126</x:f>
        <x:v>0</x:v>
      </x:c>
      <x:c r="AD126" s="28" t="n">
        <x:v>189.4</x:v>
      </x:c>
      <x:c r="AE126" s="28" t="n">
        <x:f t="shared" si="20"/>
        <x:v>56.82</x:v>
      </x:c>
      <x:c r="AF126" s="29" t="n">
        <x:f t="shared" si="21">(AE126+H126)*A126</x:f>
        <x:v>0</x:v>
      </x:c>
    </x:row>
    <x:row r="127" ht="15.75" customHeight="1">
      <x:c r="A127" s="26"/>
      <x:c r="B127" s="27" t="s">
        <x:v>259</x:v>
      </x:c>
      <x:c r="C127" s="27" t="s">
        <x:v>260</x:v>
      </x:c>
      <x:c r="D127" s="28" t="n">
        <x:v>320.36</x:v>
      </x:c>
      <x:c r="E127" s="28" t="n">
        <x:f t="shared" si="1"/>
        <x:v>96.11</x:v>
      </x:c>
      <x:c r="F127" s="28" t="n">
        <x:f t="shared" si="2">E127*A127</x:f>
        <x:v>0</x:v>
      </x:c>
      <x:c r="G127" s="28" t="n">
        <x:v>155.26</x:v>
      </x:c>
      <x:c r="H127" s="28" t="n">
        <x:f t="shared" si="3"/>
        <x:v>46.58</x:v>
      </x:c>
      <x:c r="I127" s="28" t="n">
        <x:v>187.99</x:v>
      </x:c>
      <x:c r="J127" s="28" t="n">
        <x:f t="shared" si="4"/>
        <x:v>56.4</x:v>
      </x:c>
      <x:c r="K127" s="28" t="n">
        <x:f t="shared" si="5">(J127+H127)*A127</x:f>
        <x:v>0</x:v>
      </x:c>
      <x:c r="L127" s="28" t="n">
        <x:v>168.73</x:v>
      </x:c>
      <x:c r="M127" s="28" t="n">
        <x:f t="shared" si="6"/>
        <x:v>43.87</x:v>
      </x:c>
      <x:c r="N127" s="28" t="n">
        <x:f t="shared" si="7">(M127+H127)*A127</x:f>
        <x:v>0</x:v>
      </x:c>
      <x:c r="O127" s="28" t="n">
        <x:v>166.55</x:v>
      </x:c>
      <x:c r="P127" s="28" t="n">
        <x:f t="shared" si="8"/>
        <x:v>49.97</x:v>
      </x:c>
      <x:c r="Q127" s="28" t="n">
        <x:f t="shared" si="9">(P127+H127)*A127</x:f>
        <x:v>0</x:v>
      </x:c>
      <x:c r="R127" s="28" t="n">
        <x:f t="shared" si="25"/>
        <x:v>168.73</x:v>
      </x:c>
      <x:c r="S127" s="28" t="n">
        <x:f t="shared" si="11"/>
        <x:v>50.62</x:v>
      </x:c>
      <x:c r="T127" s="28" t="n">
        <x:f t="shared" si="12">(S127+H127)*A127</x:f>
        <x:v>0</x:v>
      </x:c>
      <x:c r="U127" s="28" t="n">
        <x:f t="shared" si="26"/>
        <x:v>168.73</x:v>
      </x:c>
      <x:c r="V127" s="28" t="n">
        <x:f t="shared" si="14"/>
        <x:v>50.62</x:v>
      </x:c>
      <x:c r="W127" s="28" t="n">
        <x:f t="shared" si="15">(V127+H127)*A127</x:f>
        <x:v>0</x:v>
      </x:c>
      <x:c r="X127" s="28" t="n">
        <x:v>336.52</x:v>
      </x:c>
      <x:c r="Y127" s="28" t="n">
        <x:f t="shared" si="16"/>
        <x:v>100.95</x:v>
      </x:c>
      <x:c r="Z127" s="28" t="n">
        <x:f t="shared" si="17">(Y127+H127)*A127</x:f>
        <x:v>0</x:v>
      </x:c>
      <x:c r="AA127" s="28" t="n">
        <x:v>176.82</x:v>
      </x:c>
      <x:c r="AB127" s="28" t="n">
        <x:f t="shared" si="18"/>
        <x:v>53.05</x:v>
      </x:c>
      <x:c r="AC127" s="28" t="n">
        <x:f t="shared" si="19">(AB127+H127)*A127</x:f>
        <x:v>0</x:v>
      </x:c>
      <x:c r="AD127" s="28" t="n">
        <x:v>197.59</x:v>
      </x:c>
      <x:c r="AE127" s="28" t="n">
        <x:f t="shared" si="20"/>
        <x:v>59.28</x:v>
      </x:c>
      <x:c r="AF127" s="29" t="n">
        <x:f t="shared" si="21">(AE127+H127)*A127</x:f>
        <x:v>0</x:v>
      </x:c>
    </x:row>
    <x:row r="128" ht="15.75" customHeight="1">
      <x:c r="A128" s="26"/>
      <x:c r="B128" s="27" t="s">
        <x:v>261</x:v>
      </x:c>
      <x:c r="C128" s="27" t="s">
        <x:v>262</x:v>
      </x:c>
      <x:c r="D128" s="28" t="n">
        <x:v>424.78</x:v>
      </x:c>
      <x:c r="E128" s="28" t="n">
        <x:f t="shared" si="1"/>
        <x:v>127.43</x:v>
      </x:c>
      <x:c r="F128" s="28" t="n">
        <x:f t="shared" si="2">E128*A128</x:f>
        <x:v>0</x:v>
      </x:c>
      <x:c r="G128" s="28" t="n">
        <x:v>194.76</x:v>
      </x:c>
      <x:c r="H128" s="28" t="n">
        <x:f t="shared" si="3"/>
        <x:v>58.43</x:v>
      </x:c>
      <x:c r="I128" s="28" t="n">
        <x:v>272.52</x:v>
      </x:c>
      <x:c r="J128" s="28" t="n">
        <x:f t="shared" si="4"/>
        <x:v>81.76</x:v>
      </x:c>
      <x:c r="K128" s="28" t="n">
        <x:f t="shared" si="5">(J128+H128)*A128</x:f>
        <x:v>0</x:v>
      </x:c>
      <x:c r="L128" s="28" t="n">
        <x:v>234.48</x:v>
      </x:c>
      <x:c r="M128" s="28" t="n">
        <x:f t="shared" si="6"/>
        <x:v>60.97</x:v>
      </x:c>
      <x:c r="N128" s="28" t="n">
        <x:f t="shared" si="7">(M128+H128)*A128</x:f>
        <x:v>0</x:v>
      </x:c>
      <x:c r="O128" s="28" t="n">
        <x:v>231.47</x:v>
      </x:c>
      <x:c r="P128" s="28" t="n">
        <x:f t="shared" si="8"/>
        <x:v>69.44</x:v>
      </x:c>
      <x:c r="Q128" s="28" t="n">
        <x:f t="shared" si="9">(P128+H128)*A128</x:f>
        <x:v>0</x:v>
      </x:c>
      <x:c r="R128" s="28" t="n">
        <x:f t="shared" si="25"/>
        <x:v>234.48</x:v>
      </x:c>
      <x:c r="S128" s="28" t="n">
        <x:f t="shared" si="11"/>
        <x:v>70.35</x:v>
      </x:c>
      <x:c r="T128" s="28" t="n">
        <x:f t="shared" si="12">(S128+H128)*A128</x:f>
        <x:v>0</x:v>
      </x:c>
      <x:c r="U128" s="28" t="n">
        <x:f t="shared" si="26"/>
        <x:v>234.48</x:v>
      </x:c>
      <x:c r="V128" s="28" t="n">
        <x:f t="shared" si="14"/>
        <x:v>70.35</x:v>
      </x:c>
      <x:c r="W128" s="28" t="n">
        <x:f t="shared" si="15">(V128+H128)*A128</x:f>
        <x:v>0</x:v>
      </x:c>
      <x:c r="X128" s="28" t="n">
        <x:v>404.2</x:v>
      </x:c>
      <x:c r="Y128" s="28" t="n">
        <x:f t="shared" si="16"/>
        <x:v>121.26</x:v>
      </x:c>
      <x:c r="Z128" s="28" t="n">
        <x:f t="shared" si="17">(Y128+H128)*A128</x:f>
        <x:v>0</x:v>
      </x:c>
      <x:c r="AA128" s="28" t="n">
        <x:v>257.76</x:v>
      </x:c>
      <x:c r="AB128" s="28" t="n">
        <x:f t="shared" si="18"/>
        <x:v>77.33</x:v>
      </x:c>
      <x:c r="AC128" s="28" t="n">
        <x:f t="shared" si="19">(AB128+H128)*A128</x:f>
        <x:v>0</x:v>
      </x:c>
      <x:c r="AD128" s="28" t="n">
        <x:v>273.34</x:v>
      </x:c>
      <x:c r="AE128" s="28" t="n">
        <x:f t="shared" si="20"/>
        <x:v>82</x:v>
      </x:c>
      <x:c r="AF128" s="29" t="n">
        <x:f t="shared" si="21">(AE128+H128)*A128</x:f>
        <x:v>0</x:v>
      </x:c>
    </x:row>
    <x:row r="129" ht="15.75" customHeight="1">
      <x:c r="A129" s="26"/>
      <x:c r="B129" s="27" t="s">
        <x:v>263</x:v>
      </x:c>
      <x:c r="C129" s="27" t="s">
        <x:v>264</x:v>
      </x:c>
      <x:c r="D129" s="28" t="n">
        <x:v>455.63</x:v>
      </x:c>
      <x:c r="E129" s="28" t="n">
        <x:f t="shared" si="1"/>
        <x:v>136.69</x:v>
      </x:c>
      <x:c r="F129" s="28" t="n">
        <x:f t="shared" si="2">E129*A129</x:f>
        <x:v>0</x:v>
      </x:c>
      <x:c r="G129" s="28" t="n">
        <x:v>214.77</x:v>
      </x:c>
      <x:c r="H129" s="28" t="n">
        <x:f t="shared" si="3"/>
        <x:v>64.43</x:v>
      </x:c>
      <x:c r="I129" s="28" t="n">
        <x:v>273.14</x:v>
      </x:c>
      <x:c r="J129" s="28" t="n">
        <x:f t="shared" si="4"/>
        <x:v>81.94</x:v>
      </x:c>
      <x:c r="K129" s="28" t="n">
        <x:f t="shared" si="5">(J129+H129)*A129</x:f>
        <x:v>0</x:v>
      </x:c>
      <x:c r="L129" s="28" t="n">
        <x:v>245.89</x:v>
      </x:c>
      <x:c r="M129" s="28" t="n">
        <x:f t="shared" si="6"/>
        <x:v>63.93</x:v>
      </x:c>
      <x:c r="N129" s="28" t="n">
        <x:f t="shared" si="7">(M129+H129)*A129</x:f>
        <x:v>0</x:v>
      </x:c>
      <x:c r="O129" s="28" t="n">
        <x:v>242.73</x:v>
      </x:c>
      <x:c r="P129" s="28" t="n">
        <x:f t="shared" si="8"/>
        <x:v>72.82</x:v>
      </x:c>
      <x:c r="Q129" s="28" t="n">
        <x:f t="shared" si="9">(P129+H129)*A129</x:f>
        <x:v>0</x:v>
      </x:c>
      <x:c r="R129" s="28" t="n">
        <x:f t="shared" si="25"/>
        <x:v>245.89</x:v>
      </x:c>
      <x:c r="S129" s="28" t="n">
        <x:f t="shared" si="11"/>
        <x:v>73.77</x:v>
      </x:c>
      <x:c r="T129" s="28" t="n">
        <x:f t="shared" si="12">(S129+H129)*A129</x:f>
        <x:v>0</x:v>
      </x:c>
      <x:c r="U129" s="28" t="n">
        <x:f t="shared" si="26"/>
        <x:v>245.89</x:v>
      </x:c>
      <x:c r="V129" s="28" t="n">
        <x:f t="shared" si="14"/>
        <x:v>73.77</x:v>
      </x:c>
      <x:c r="W129" s="28" t="n">
        <x:f t="shared" si="15">(V129+H129)*A129</x:f>
        <x:v>0</x:v>
      </x:c>
      <x:c r="X129" s="28" t="n">
        <x:v>471.89</x:v>
      </x:c>
      <x:c r="Y129" s="28" t="n">
        <x:f t="shared" si="16"/>
        <x:v>141.57</x:v>
      </x:c>
      <x:c r="Z129" s="28" t="n">
        <x:f t="shared" si="17">(Y129+H129)*A129</x:f>
        <x:v>0</x:v>
      </x:c>
      <x:c r="AA129" s="28" t="n">
        <x:v>262.67</x:v>
      </x:c>
      <x:c r="AB129" s="28" t="n">
        <x:f t="shared" si="18"/>
        <x:v>78.8</x:v>
      </x:c>
      <x:c r="AC129" s="28" t="n">
        <x:f t="shared" si="19">(AB129+H129)*A129</x:f>
        <x:v>0</x:v>
      </x:c>
      <x:c r="AD129" s="28" t="n">
        <x:v>287.5</x:v>
      </x:c>
      <x:c r="AE129" s="28" t="n">
        <x:f t="shared" si="20"/>
        <x:v>86.25</x:v>
      </x:c>
      <x:c r="AF129" s="29" t="n">
        <x:f t="shared" si="21">(AE129+H129)*A129</x:f>
        <x:v>0</x:v>
      </x:c>
    </x:row>
    <x:row r="130" ht="15.75" customHeight="1">
      <x:c r="A130" s="26"/>
      <x:c r="B130" s="27" t="s">
        <x:v>265</x:v>
      </x:c>
      <x:c r="C130" s="27" t="s">
        <x:v>266</x:v>
      </x:c>
      <x:c r="D130" s="28" t="n">
        <x:v>512.86</x:v>
      </x:c>
      <x:c r="E130" s="28" t="n">
        <x:f t="shared" si="1"/>
        <x:v>153.86</x:v>
      </x:c>
      <x:c r="F130" s="28" t="n">
        <x:f t="shared" si="2">E130*A130</x:f>
        <x:v>0</x:v>
      </x:c>
      <x:c r="G130" s="28" t="n">
        <x:v>256.3</x:v>
      </x:c>
      <x:c r="H130" s="28" t="n">
        <x:f t="shared" si="3"/>
        <x:v>76.89</x:v>
      </x:c>
      <x:c r="I130" s="28" t="n">
        <x:v>292.73</x:v>
      </x:c>
      <x:c r="J130" s="28" t="n">
        <x:f t="shared" si="4"/>
        <x:v>87.82</x:v>
      </x:c>
      <x:c r="K130" s="28" t="n">
        <x:f t="shared" si="5">(J130+H130)*A130</x:f>
        <x:v>0</x:v>
      </x:c>
      <x:c r="L130" s="28" t="n">
        <x:v>262.33</x:v>
      </x:c>
      <x:c r="M130" s="28" t="n">
        <x:f t="shared" si="6"/>
        <x:v>68.21</x:v>
      </x:c>
      <x:c r="N130" s="28" t="n">
        <x:f t="shared" si="7">(M130+H130)*A130</x:f>
        <x:v>0</x:v>
      </x:c>
      <x:c r="O130" s="28" t="n">
        <x:v>258.94</x:v>
      </x:c>
      <x:c r="P130" s="28" t="n">
        <x:f t="shared" si="8"/>
        <x:v>77.68</x:v>
      </x:c>
      <x:c r="Q130" s="28" t="n">
        <x:f t="shared" si="9">(P130+H130)*A130</x:f>
        <x:v>0</x:v>
      </x:c>
      <x:c r="R130" s="28" t="n">
        <x:f t="shared" si="25"/>
        <x:v>262.33</x:v>
      </x:c>
      <x:c r="S130" s="28" t="n">
        <x:f t="shared" si="11"/>
        <x:v>78.7</x:v>
      </x:c>
      <x:c r="T130" s="28" t="n">
        <x:f t="shared" si="12">(S130+H130)*A130</x:f>
        <x:v>0</x:v>
      </x:c>
      <x:c r="U130" s="28" t="n">
        <x:f t="shared" si="26"/>
        <x:v>262.33</x:v>
      </x:c>
      <x:c r="V130" s="28" t="n">
        <x:f t="shared" si="14"/>
        <x:v>78.7</x:v>
      </x:c>
      <x:c r="W130" s="28" t="n">
        <x:f t="shared" si="15">(V130+H130)*A130</x:f>
        <x:v>0</x:v>
      </x:c>
      <x:c r="X130" s="28" t="n">
        <x:v>540.01</x:v>
      </x:c>
      <x:c r="Y130" s="28" t="n">
        <x:f t="shared" si="16"/>
        <x:v>162</x:v>
      </x:c>
      <x:c r="Z130" s="28" t="n">
        <x:f t="shared" si="17">(Y130+H130)*A130</x:f>
        <x:v>0</x:v>
      </x:c>
      <x:c r="AA130" s="28" t="n">
        <x:v>283.91</x:v>
      </x:c>
      <x:c r="AB130" s="28" t="n">
        <x:f t="shared" si="18"/>
        <x:v>85.17</x:v>
      </x:c>
      <x:c r="AC130" s="28" t="n">
        <x:f t="shared" si="19">(AB130+H130)*A130</x:f>
        <x:v>0</x:v>
      </x:c>
      <x:c r="AD130" s="28" t="n">
        <x:v>308.29</x:v>
      </x:c>
      <x:c r="AE130" s="28" t="n">
        <x:f t="shared" si="20"/>
        <x:v>92.49</x:v>
      </x:c>
      <x:c r="AF130" s="29" t="n">
        <x:f t="shared" si="21">(AE130+H130)*A130</x:f>
        <x:v>0</x:v>
      </x:c>
    </x:row>
    <x:row r="131" ht="15.75" customHeight="1">
      <x:c r="A131" s="26"/>
      <x:c r="B131" s="27" t="s">
        <x:v>267</x:v>
      </x:c>
      <x:c r="C131" s="27" t="s">
        <x:v>268</x:v>
      </x:c>
      <x:c r="D131" s="28" t="n">
        <x:v>439.46</x:v>
      </x:c>
      <x:c r="E131" s="28" t="n">
        <x:f t="shared" si="1"/>
        <x:v>131.84</x:v>
      </x:c>
      <x:c r="F131" s="28" t="n">
        <x:f t="shared" si="2">E131*A131</x:f>
        <x:v>0</x:v>
      </x:c>
      <x:c r="G131" s="28" t="n">
        <x:v>194.44</x:v>
      </x:c>
      <x:c r="H131" s="28" t="n">
        <x:f t="shared" si="3"/>
        <x:v>58.33</x:v>
      </x:c>
      <x:c r="I131" s="28" t="n">
        <x:v>285.41</x:v>
      </x:c>
      <x:c r="J131" s="28" t="n">
        <x:f t="shared" si="4"/>
        <x:v>85.62</x:v>
      </x:c>
      <x:c r="K131" s="28" t="n">
        <x:f t="shared" si="5">(J131+H131)*A131</x:f>
        <x:v>0</x:v>
      </x:c>
      <x:c r="L131" s="28" t="n">
        <x:v>249.92</x:v>
      </x:c>
      <x:c r="M131" s="28" t="n">
        <x:f t="shared" si="6"/>
        <x:v>64.98</x:v>
      </x:c>
      <x:c r="N131" s="28" t="n">
        <x:f t="shared" si="7">(M131+H131)*A131</x:f>
        <x:v>0</x:v>
      </x:c>
      <x:c r="O131" s="28" t="n">
        <x:v>246.71</x:v>
      </x:c>
      <x:c r="P131" s="28" t="n">
        <x:f t="shared" si="8"/>
        <x:v>74.01</x:v>
      </x:c>
      <x:c r="Q131" s="28" t="n">
        <x:f t="shared" si="9">(P131+H131)*A131</x:f>
        <x:v>0</x:v>
      </x:c>
      <x:c r="R131" s="28" t="n">
        <x:f t="shared" si="25"/>
        <x:v>249.92</x:v>
      </x:c>
      <x:c r="S131" s="28" t="n">
        <x:f t="shared" si="11"/>
        <x:v>74.98</x:v>
      </x:c>
      <x:c r="T131" s="28" t="n">
        <x:f t="shared" si="12">(S131+H131)*A131</x:f>
        <x:v>0</x:v>
      </x:c>
      <x:c r="U131" s="28" t="n">
        <x:f t="shared" si="26"/>
        <x:v>249.92</x:v>
      </x:c>
      <x:c r="V131" s="28" t="n">
        <x:f t="shared" si="14"/>
        <x:v>74.98</x:v>
      </x:c>
      <x:c r="W131" s="28" t="n">
        <x:f t="shared" si="15">(V131+H131)*A131</x:f>
        <x:v>0</x:v>
      </x:c>
      <x:c r="X131" s="28" t="n">
        <x:v>432.81</x:v>
      </x:c>
      <x:c r="Y131" s="28" t="n">
        <x:f t="shared" si="16"/>
        <x:v>129.84</x:v>
      </x:c>
      <x:c r="Z131" s="28" t="n">
        <x:f t="shared" si="17">(Y131+H131)*A131</x:f>
        <x:v>0</x:v>
      </x:c>
      <x:c r="AA131" s="28" t="n">
        <x:v>274.32</x:v>
      </x:c>
      <x:c r="AB131" s="28" t="n">
        <x:f t="shared" si="18"/>
        <x:v>82.3</x:v>
      </x:c>
      <x:c r="AC131" s="28" t="n">
        <x:f t="shared" si="19">(AB131+H131)*A131</x:f>
        <x:v>0</x:v>
      </x:c>
      <x:c r="AD131" s="28" t="n">
        <x:v>321.71</x:v>
      </x:c>
      <x:c r="AE131" s="28" t="n">
        <x:f t="shared" si="20"/>
        <x:v>96.51</x:v>
      </x:c>
      <x:c r="AF131" s="29" t="n">
        <x:f t="shared" si="21">(AE131+H131)*A131</x:f>
        <x:v>0</x:v>
      </x:c>
    </x:row>
    <x:row r="132" ht="15.75" customHeight="1">
      <x:c r="A132" s="26"/>
      <x:c r="B132" s="27" t="s">
        <x:v>269</x:v>
      </x:c>
      <x:c r="C132" s="27" t="s">
        <x:v>270</x:v>
      </x:c>
      <x:c r="D132" s="28" t="n">
        <x:v>499.9</x:v>
      </x:c>
      <x:c r="E132" s="28" t="n">
        <x:f t="shared" si="1"/>
        <x:v>149.97</x:v>
      </x:c>
      <x:c r="F132" s="28" t="n">
        <x:f t="shared" si="2">E132*A132</x:f>
        <x:v>0</x:v>
      </x:c>
      <x:c r="G132" s="28" t="n">
        <x:v>227.24</x:v>
      </x:c>
      <x:c r="H132" s="28" t="n">
        <x:f t="shared" si="3"/>
        <x:v>68.17</x:v>
      </x:c>
      <x:c r="I132" s="28" t="n">
        <x:v>302.47</x:v>
      </x:c>
      <x:c r="J132" s="28" t="n">
        <x:f t="shared" si="4"/>
        <x:v>90.74</x:v>
      </x:c>
      <x:c r="K132" s="28" t="n">
        <x:f t="shared" si="5">(J132+H132)*A132</x:f>
        <x:v>0</x:v>
      </x:c>
      <x:c r="L132" s="28" t="n">
        <x:v>278.17</x:v>
      </x:c>
      <x:c r="M132" s="28" t="n">
        <x:f t="shared" si="6"/>
        <x:v>72.32</x:v>
      </x:c>
      <x:c r="N132" s="28" t="n">
        <x:f t="shared" si="7">(M132+H132)*A132</x:f>
        <x:v>0</x:v>
      </x:c>
      <x:c r="O132" s="28" t="n">
        <x:v>274.61</x:v>
      </x:c>
      <x:c r="P132" s="28" t="n">
        <x:f t="shared" si="8"/>
        <x:v>82.38</x:v>
      </x:c>
      <x:c r="Q132" s="28" t="n">
        <x:f t="shared" si="9">(P132+H132)*A132</x:f>
        <x:v>0</x:v>
      </x:c>
      <x:c r="R132" s="28" t="n">
        <x:f t="shared" si="25"/>
        <x:v>278.17</x:v>
      </x:c>
      <x:c r="S132" s="28" t="n">
        <x:f t="shared" si="11"/>
        <x:v>83.45</x:v>
      </x:c>
      <x:c r="T132" s="28" t="n">
        <x:f t="shared" si="12">(S132+H132)*A132</x:f>
        <x:v>0</x:v>
      </x:c>
      <x:c r="U132" s="28" t="n">
        <x:f t="shared" si="26"/>
        <x:v>278.17</x:v>
      </x:c>
      <x:c r="V132" s="28" t="n">
        <x:f t="shared" si="14"/>
        <x:v>83.45</x:v>
      </x:c>
      <x:c r="W132" s="28" t="n">
        <x:f t="shared" si="15">(V132+H132)*A132</x:f>
        <x:v>0</x:v>
      </x:c>
      <x:c r="X132" s="28" t="n">
        <x:v>504.54</x:v>
      </x:c>
      <x:c r="Y132" s="28" t="n">
        <x:f t="shared" si="16"/>
        <x:v>151.36</x:v>
      </x:c>
      <x:c r="Z132" s="28" t="n">
        <x:f t="shared" si="17">(Y132+H132)*A132</x:f>
        <x:v>0</x:v>
      </x:c>
      <x:c r="AA132" s="28" t="n">
        <x:v>291.36</x:v>
      </x:c>
      <x:c r="AB132" s="28" t="n">
        <x:f t="shared" si="18"/>
        <x:v>87.41</x:v>
      </x:c>
      <x:c r="AC132" s="28" t="n">
        <x:f t="shared" si="19">(AB132+H132)*A132</x:f>
        <x:v>0</x:v>
      </x:c>
      <x:c r="AD132" s="28" t="n">
        <x:v>323.39</x:v>
      </x:c>
      <x:c r="AE132" s="28" t="n">
        <x:f t="shared" si="20"/>
        <x:v>97.02</x:v>
      </x:c>
      <x:c r="AF132" s="29" t="n">
        <x:f t="shared" si="21">(AE132+H132)*A132</x:f>
        <x:v>0</x:v>
      </x:c>
    </x:row>
    <x:row r="133" ht="15.75" customHeight="1">
      <x:c r="A133" s="26"/>
      <x:c r="B133" s="27" t="s">
        <x:v>271</x:v>
      </x:c>
      <x:c r="C133" s="27" t="s">
        <x:v>272</x:v>
      </x:c>
      <x:c r="D133" s="28" t="n">
        <x:v>544.26</x:v>
      </x:c>
      <x:c r="E133" s="28" t="n">
        <x:f t="shared" si="1"/>
        <x:v>163.28</x:v>
      </x:c>
      <x:c r="F133" s="28" t="n">
        <x:f t="shared" si="2">E133*A133</x:f>
        <x:v>0</x:v>
      </x:c>
      <x:c r="G133" s="28" t="n">
        <x:v>268.03</x:v>
      </x:c>
      <x:c r="H133" s="28" t="n">
        <x:f t="shared" si="3"/>
        <x:v>80.41</x:v>
      </x:c>
      <x:c r="I133" s="28" t="n">
        <x:v>314.67</x:v>
      </x:c>
      <x:c r="J133" s="28" t="n">
        <x:f t="shared" si="4"/>
        <x:v>94.4</x:v>
      </x:c>
      <x:c r="K133" s="28" t="n">
        <x:f t="shared" si="5">(J133+H133)*A133</x:f>
        <x:v>0</x:v>
      </x:c>
      <x:c r="L133" s="28" t="n">
        <x:v>282.46</x:v>
      </x:c>
      <x:c r="M133" s="28" t="n">
        <x:f t="shared" si="6"/>
        <x:v>73.44</x:v>
      </x:c>
      <x:c r="N133" s="28" t="n">
        <x:f t="shared" si="7">(M133+H133)*A133</x:f>
        <x:v>0</x:v>
      </x:c>
      <x:c r="O133" s="28" t="n">
        <x:v>278.85</x:v>
      </x:c>
      <x:c r="P133" s="28" t="n">
        <x:f t="shared" si="8"/>
        <x:v>83.65</x:v>
      </x:c>
      <x:c r="Q133" s="28" t="n">
        <x:f t="shared" si="9">(P133+H133)*A133</x:f>
        <x:v>0</x:v>
      </x:c>
      <x:c r="R133" s="28" t="n">
        <x:f t="shared" si="25"/>
        <x:v>282.46</x:v>
      </x:c>
      <x:c r="S133" s="28" t="n">
        <x:f t="shared" si="11"/>
        <x:v>84.74</x:v>
      </x:c>
      <x:c r="T133" s="28" t="n">
        <x:f t="shared" si="12">(S133+H133)*A133</x:f>
        <x:v>0</x:v>
      </x:c>
      <x:c r="U133" s="28" t="n">
        <x:f t="shared" si="26"/>
        <x:v>282.46</x:v>
      </x:c>
      <x:c r="V133" s="28" t="n">
        <x:f t="shared" si="14"/>
        <x:v>84.74</x:v>
      </x:c>
      <x:c r="W133" s="28" t="n">
        <x:f t="shared" si="15">(V133+H133)*A133</x:f>
        <x:v>0</x:v>
      </x:c>
      <x:c r="X133" s="28" t="n">
        <x:v>576.72</x:v>
      </x:c>
      <x:c r="Y133" s="28" t="n">
        <x:f t="shared" si="16"/>
        <x:v>173.02</x:v>
      </x:c>
      <x:c r="Z133" s="28" t="n">
        <x:f t="shared" si="17">(Y133+H133)*A133</x:f>
        <x:v>0</x:v>
      </x:c>
      <x:c r="AA133" s="28" t="n">
        <x:v>296.58</x:v>
      </x:c>
      <x:c r="AB133" s="28" t="n">
        <x:f t="shared" si="18"/>
        <x:v>88.97</x:v>
      </x:c>
      <x:c r="AC133" s="28" t="n">
        <x:f t="shared" si="19">(AB133+H133)*A133</x:f>
        <x:v>0</x:v>
      </x:c>
      <x:c r="AD133" s="28" t="n">
        <x:v>331.43</x:v>
      </x:c>
      <x:c r="AE133" s="28" t="n">
        <x:f t="shared" si="20"/>
        <x:v>99.43</x:v>
      </x:c>
      <x:c r="AF133" s="29" t="n">
        <x:f t="shared" si="21">(AE133+H133)*A133</x:f>
        <x:v>0</x:v>
      </x:c>
    </x:row>
    <x:row r="134" ht="15.75" customHeight="1">
      <x:c r="A134" s="26"/>
      <x:c r="B134" s="27" t="s">
        <x:v>273</x:v>
      </x:c>
      <x:c r="C134" s="27"/>
      <x:c r="D134" s="28" t="n">
        <x:v>256.56</x:v>
      </x:c>
      <x:c r="E134" s="28" t="n">
        <x:f t="shared" si="1"/>
        <x:v>76.97</x:v>
      </x:c>
      <x:c r="F134" s="28" t="n">
        <x:f t="shared" si="2">E134*A134</x:f>
        <x:v>0</x:v>
      </x:c>
      <x:c r="G134" s="28" t="n">
        <x:v>110.9</x:v>
      </x:c>
      <x:c r="H134" s="28" t="n">
        <x:f t="shared" si="3"/>
        <x:v>33.27</x:v>
      </x:c>
      <x:c r="I134" s="28" t="n">
        <x:v>164.71</x:v>
      </x:c>
      <x:c r="J134" s="28" t="n">
        <x:f t="shared" si="4"/>
        <x:v>49.41</x:v>
      </x:c>
      <x:c r="K134" s="28" t="n">
        <x:f t="shared" si="5">(J134+H134)*A134</x:f>
        <x:v>0</x:v>
      </x:c>
      <x:c r="L134" s="28" t="n">
        <x:v>148.4</x:v>
      </x:c>
      <x:c r="M134" s="28" t="n">
        <x:f t="shared" si="6"/>
        <x:v>38.58</x:v>
      </x:c>
      <x:c r="N134" s="28" t="n">
        <x:f t="shared" si="7">(M134+H134)*A134</x:f>
        <x:v>0</x:v>
      </x:c>
      <x:c r="O134" s="28" t="n">
        <x:v>146.48</x:v>
      </x:c>
      <x:c r="P134" s="28" t="n">
        <x:f t="shared" si="8"/>
        <x:v>43.95</x:v>
      </x:c>
      <x:c r="Q134" s="28" t="n">
        <x:f t="shared" si="9">(P134+H134)*A134</x:f>
        <x:v>0</x:v>
      </x:c>
      <x:c r="R134" s="28" t="n">
        <x:f t="shared" si="25"/>
        <x:v>148.4</x:v>
      </x:c>
      <x:c r="S134" s="28" t="n">
        <x:f t="shared" si="11"/>
        <x:v>44.52</x:v>
      </x:c>
      <x:c r="T134" s="28" t="n">
        <x:f t="shared" si="12">(S134+H134)*A134</x:f>
        <x:v>0</x:v>
      </x:c>
      <x:c r="U134" s="28" t="n">
        <x:f t="shared" si="26"/>
        <x:v>148.4</x:v>
      </x:c>
      <x:c r="V134" s="28" t="n">
        <x:f t="shared" si="14"/>
        <x:v>44.52</x:v>
      </x:c>
      <x:c r="W134" s="28" t="n">
        <x:f t="shared" si="15">(V134+H134)*A134</x:f>
        <x:v>0</x:v>
      </x:c>
      <x:c r="X134" s="28" t="n">
        <x:v>233.64</x:v>
      </x:c>
      <x:c r="Y134" s="28" t="n">
        <x:f t="shared" si="16"/>
        <x:v>70.09</x:v>
      </x:c>
      <x:c r="Z134" s="28" t="n">
        <x:f t="shared" si="17">(Y134+H134)*A134</x:f>
        <x:v>0</x:v>
      </x:c>
      <x:c r="AA134" s="28" t="n">
        <x:v>160.01</x:v>
      </x:c>
      <x:c r="AB134" s="28" t="n">
        <x:f t="shared" si="18"/>
        <x:v>48</x:v>
      </x:c>
      <x:c r="AC134" s="28" t="n">
        <x:f t="shared" si="19">(AB134+H134)*A134</x:f>
        <x:v>0</x:v>
      </x:c>
      <x:c r="AD134" s="28" t="n">
        <x:v>171.96</x:v>
      </x:c>
      <x:c r="AE134" s="28" t="n">
        <x:f t="shared" si="20"/>
        <x:v>51.59</x:v>
      </x:c>
      <x:c r="AF134" s="29" t="n">
        <x:f t="shared" si="21">(AE134+H134)*A134</x:f>
        <x:v>0</x:v>
      </x:c>
    </x:row>
    <x:row r="135" ht="15.75" customHeight="1">
      <x:c r="A135" s="26"/>
      <x:c r="B135" s="27" t="s">
        <x:v>274</x:v>
      </x:c>
      <x:c r="C135" s="27" t="s">
        <x:v>275</x:v>
      </x:c>
      <x:c r="D135" s="28" t="n">
        <x:v>308.63</x:v>
      </x:c>
      <x:c r="E135" s="28" t="n">
        <x:f t="shared" si="1"/>
        <x:v>92.59</x:v>
      </x:c>
      <x:c r="F135" s="28" t="n">
        <x:f t="shared" si="2">E135*A135</x:f>
        <x:v>0</x:v>
      </x:c>
      <x:c r="G135" s="28" t="n">
        <x:v>157.13</x:v>
      </x:c>
      <x:c r="H135" s="28" t="n">
        <x:f t="shared" si="3"/>
        <x:v>47.14</x:v>
      </x:c>
      <x:c r="I135" s="28" t="n">
        <x:v>173.43</x:v>
      </x:c>
      <x:c r="J135" s="28" t="n">
        <x:f t="shared" si="4"/>
        <x:v>52.03</x:v>
      </x:c>
      <x:c r="K135" s="28" t="n">
        <x:f t="shared" si="5">(J135+H135)*A135</x:f>
        <x:v>0</x:v>
      </x:c>
      <x:c r="L135" s="28" t="n">
        <x:v>154.98</x:v>
      </x:c>
      <x:c r="M135" s="28" t="n">
        <x:f t="shared" si="6"/>
        <x:v>40.29</x:v>
      </x:c>
      <x:c r="N135" s="28" t="n">
        <x:f t="shared" si="7">(M135+H135)*A135</x:f>
        <x:v>0</x:v>
      </x:c>
      <x:c r="O135" s="28"/>
      <x:c r="P135" s="28" t="n">
        <x:f t="shared" si="8"/>
        <x:v>0</x:v>
      </x:c>
      <x:c r="Q135" s="28" t="n">
        <x:f t="shared" si="9">(P135+H135)*A135</x:f>
        <x:v>0</x:v>
      </x:c>
      <x:c r="R135" s="28" t="n">
        <x:f t="shared" si="25"/>
        <x:v>154.98</x:v>
      </x:c>
      <x:c r="S135" s="28" t="n">
        <x:f t="shared" si="11"/>
        <x:v>46.49</x:v>
      </x:c>
      <x:c r="T135" s="28" t="n">
        <x:f t="shared" si="12">(S135+H135)*A135</x:f>
        <x:v>0</x:v>
      </x:c>
      <x:c r="U135" s="28" t="n">
        <x:f t="shared" si="26"/>
        <x:v>154.98</x:v>
      </x:c>
      <x:c r="V135" s="28" t="n">
        <x:f t="shared" si="14"/>
        <x:v>46.49</x:v>
      </x:c>
      <x:c r="W135" s="28" t="n">
        <x:f t="shared" si="15">(V135+H135)*A135</x:f>
        <x:v>0</x:v>
      </x:c>
      <x:c r="X135" s="28" t="n">
        <x:v>233.64</x:v>
      </x:c>
      <x:c r="Y135" s="28" t="n">
        <x:f t="shared" si="16"/>
        <x:v>70.09</x:v>
      </x:c>
      <x:c r="Z135" s="28" t="n">
        <x:f t="shared" si="17">(Y135+H135)*A135</x:f>
        <x:v>0</x:v>
      </x:c>
      <x:c r="AA135" s="28"/>
      <x:c r="AB135" s="28" t="n">
        <x:f t="shared" si="18"/>
        <x:v>0</x:v>
      </x:c>
      <x:c r="AC135" s="28" t="n">
        <x:f t="shared" si="19">(AB135+H135)*A135</x:f>
        <x:v>0</x:v>
      </x:c>
      <x:c r="AD135" s="28" t="n">
        <x:v>183.17</x:v>
      </x:c>
      <x:c r="AE135" s="28" t="n">
        <x:f t="shared" si="20"/>
        <x:v>54.95</x:v>
      </x:c>
      <x:c r="AF135" s="29" t="n">
        <x:f t="shared" si="21">(AE135+H135)*A135</x:f>
        <x:v>0</x:v>
      </x:c>
    </x:row>
    <x:row r="136" ht="15.75" customHeight="1">
      <x:c r="A136" s="26"/>
      <x:c r="B136" s="27" t="s">
        <x:v>276</x:v>
      </x:c>
      <x:c r="C136" s="27" t="s">
        <x:v>277</x:v>
      </x:c>
      <x:c r="D136" s="28" t="n">
        <x:v>296.42</x:v>
      </x:c>
      <x:c r="E136" s="28" t="n">
        <x:f t="shared" si="1"/>
        <x:v>88.93</x:v>
      </x:c>
      <x:c r="F136" s="28" t="n">
        <x:f t="shared" si="2">E136*A136</x:f>
        <x:v>0</x:v>
      </x:c>
      <x:c r="G136" s="28" t="n">
        <x:v>120.49</x:v>
      </x:c>
      <x:c r="H136" s="28" t="n">
        <x:f t="shared" si="3"/>
        <x:v>36.15</x:v>
      </x:c>
      <x:c r="I136" s="28" t="n">
        <x:v>191.55</x:v>
      </x:c>
      <x:c r="J136" s="28" t="n">
        <x:f t="shared" si="4"/>
        <x:v>57.47</x:v>
      </x:c>
      <x:c r="K136" s="28" t="n">
        <x:f t="shared" si="5">(J136+H136)*A136</x:f>
        <x:v>0</x:v>
      </x:c>
      <x:c r="L136" s="28" t="n">
        <x:v>179.14</x:v>
      </x:c>
      <x:c r="M136" s="28" t="n">
        <x:f t="shared" si="6"/>
        <x:v>46.58</x:v>
      </x:c>
      <x:c r="N136" s="28" t="n">
        <x:f t="shared" si="7">(M136+H136)*A136</x:f>
        <x:v>0</x:v>
      </x:c>
      <x:c r="O136" s="28" t="n">
        <x:v>176.82</x:v>
      </x:c>
      <x:c r="P136" s="28" t="n">
        <x:f t="shared" si="8"/>
        <x:v>53.05</x:v>
      </x:c>
      <x:c r="Q136" s="28" t="n">
        <x:f t="shared" si="9">(P136+H136)*A136</x:f>
        <x:v>0</x:v>
      </x:c>
      <x:c r="R136" s="28" t="n">
        <x:f t="shared" si="25"/>
        <x:v>179.14</x:v>
      </x:c>
      <x:c r="S136" s="28" t="n">
        <x:f t="shared" si="11"/>
        <x:v>53.74</x:v>
      </x:c>
      <x:c r="T136" s="28" t="n">
        <x:f t="shared" si="12">(S136+H136)*A136</x:f>
        <x:v>0</x:v>
      </x:c>
      <x:c r="U136" s="28" t="n">
        <x:f t="shared" si="26"/>
        <x:v>179.14</x:v>
      </x:c>
      <x:c r="V136" s="28" t="n">
        <x:f t="shared" si="14"/>
        <x:v>53.74</x:v>
      </x:c>
      <x:c r="W136" s="28" t="n">
        <x:f t="shared" si="15">(V136+H136)*A136</x:f>
        <x:v>0</x:v>
      </x:c>
      <x:c r="X136" s="28" t="n">
        <x:v>271.53</x:v>
      </x:c>
      <x:c r="Y136" s="28" t="n">
        <x:f t="shared" si="16"/>
        <x:v>81.46</x:v>
      </x:c>
      <x:c r="Z136" s="28" t="n">
        <x:f t="shared" si="17">(Y136+H136)*A136</x:f>
        <x:v>0</x:v>
      </x:c>
      <x:c r="AA136" s="28" t="n">
        <x:v>186.68</x:v>
      </x:c>
      <x:c r="AB136" s="28" t="n">
        <x:f t="shared" si="18"/>
        <x:v>56</x:v>
      </x:c>
      <x:c r="AC136" s="28" t="n">
        <x:f t="shared" si="19">(AB136+H136)*A136</x:f>
        <x:v>0</x:v>
      </x:c>
      <x:c r="AD136" s="28" t="n">
        <x:v>206.97</x:v>
      </x:c>
      <x:c r="AE136" s="28" t="n">
        <x:f t="shared" si="20"/>
        <x:v>62.09</x:v>
      </x:c>
      <x:c r="AF136" s="29" t="n">
        <x:f t="shared" si="21">(AE136+H136)*A136</x:f>
        <x:v>0</x:v>
      </x:c>
    </x:row>
    <x:row r="137" ht="15.75" customHeight="1">
      <x:c r="A137" s="26"/>
      <x:c r="B137" s="27" t="s">
        <x:v>278</x:v>
      </x:c>
      <x:c r="C137" s="27" t="s">
        <x:v>279</x:v>
      </x:c>
      <x:c r="D137" s="28" t="n">
        <x:v>334.12</x:v>
      </x:c>
      <x:c r="E137" s="28" t="n">
        <x:f t="shared" si="1"/>
        <x:v>100.24</x:v>
      </x:c>
      <x:c r="F137" s="28" t="n">
        <x:f t="shared" si="2">E137*A137</x:f>
        <x:v>0</x:v>
      </x:c>
      <x:c r="G137" s="28" t="n">
        <x:v>162.64</x:v>
      </x:c>
      <x:c r="H137" s="28" t="n">
        <x:f t="shared" si="3"/>
        <x:v>48.79</x:v>
      </x:c>
      <x:c r="I137" s="28" t="n">
        <x:v>188.53</x:v>
      </x:c>
      <x:c r="J137" s="28" t="n">
        <x:f t="shared" si="4"/>
        <x:v>56.56</x:v>
      </x:c>
      <x:c r="K137" s="28" t="n">
        <x:f t="shared" si="5">(J137+H137)*A137</x:f>
        <x:v>0</x:v>
      </x:c>
      <x:c r="L137" s="28" t="n">
        <x:v>175.11</x:v>
      </x:c>
      <x:c r="M137" s="28" t="n">
        <x:f t="shared" si="6"/>
        <x:v>45.53</x:v>
      </x:c>
      <x:c r="N137" s="28" t="n">
        <x:f t="shared" si="7">(M137+H137)*A137</x:f>
        <x:v>0</x:v>
      </x:c>
      <x:c r="O137" s="28"/>
      <x:c r="P137" s="28" t="n">
        <x:f t="shared" si="8"/>
        <x:v>0</x:v>
      </x:c>
      <x:c r="Q137" s="28" t="n">
        <x:f t="shared" si="9">(P137+H137)*A137</x:f>
        <x:v>0</x:v>
      </x:c>
      <x:c r="R137" s="28" t="n">
        <x:f t="shared" si="25"/>
        <x:v>175.11</x:v>
      </x:c>
      <x:c r="S137" s="28" t="n">
        <x:f t="shared" si="11"/>
        <x:v>52.53</x:v>
      </x:c>
      <x:c r="T137" s="28" t="n">
        <x:f t="shared" si="12">(S137+H137)*A137</x:f>
        <x:v>0</x:v>
      </x:c>
      <x:c r="U137" s="28" t="n">
        <x:f t="shared" si="26"/>
        <x:v>175.11</x:v>
      </x:c>
      <x:c r="V137" s="28" t="n">
        <x:f t="shared" si="14"/>
        <x:v>52.53</x:v>
      </x:c>
      <x:c r="W137" s="28" t="n">
        <x:f t="shared" si="15">(V137+H137)*A137</x:f>
        <x:v>0</x:v>
      </x:c>
      <x:c r="X137" s="28" t="n">
        <x:v>271.53</x:v>
      </x:c>
      <x:c r="Y137" s="28" t="n">
        <x:f t="shared" si="16"/>
        <x:v>81.46</x:v>
      </x:c>
      <x:c r="Z137" s="28" t="n">
        <x:f t="shared" si="17">(Y137+H137)*A137</x:f>
        <x:v>0</x:v>
      </x:c>
      <x:c r="AA137" s="28"/>
      <x:c r="AB137" s="28" t="n">
        <x:f t="shared" si="18"/>
        <x:v>0</x:v>
      </x:c>
      <x:c r="AC137" s="28" t="n">
        <x:f t="shared" si="19">(AB137+H137)*A137</x:f>
        <x:v>0</x:v>
      </x:c>
      <x:c r="AD137" s="28" t="n">
        <x:v>205.63</x:v>
      </x:c>
      <x:c r="AE137" s="28" t="n">
        <x:f t="shared" si="20"/>
        <x:v>61.69</x:v>
      </x:c>
      <x:c r="AF137" s="29" t="n">
        <x:f t="shared" si="21">(AE137+H137)*A137</x:f>
        <x:v>0</x:v>
      </x:c>
    </x:row>
    <x:row r="138" ht="15.75" customHeight="1">
      <x:c r="A138" s="26"/>
      <x:c r="B138" s="27" t="s">
        <x:v>280</x:v>
      </x:c>
      <x:c r="C138" s="27" t="s">
        <x:v>281</x:v>
      </x:c>
      <x:c r="D138" s="28" t="n">
        <x:v>326.48</x:v>
      </x:c>
      <x:c r="E138" s="28" t="n">
        <x:f t="shared" si="1"/>
        <x:v>97.94</x:v>
      </x:c>
      <x:c r="F138" s="28" t="n">
        <x:f t="shared" si="2">E138*A138</x:f>
        <x:v>0</x:v>
      </x:c>
      <x:c r="G138" s="28" t="n">
        <x:v>135.19</x:v>
      </x:c>
      <x:c r="H138" s="28" t="n">
        <x:f t="shared" si="3"/>
        <x:v>40.56</x:v>
      </x:c>
      <x:c r="I138" s="28" t="n">
        <x:v>208.66</x:v>
      </x:c>
      <x:c r="J138" s="28" t="n">
        <x:f t="shared" si="4"/>
        <x:v>62.6</x:v>
      </x:c>
      <x:c r="K138" s="28" t="n">
        <x:f t="shared" si="5">(J138+H138)*A138</x:f>
        <x:v>0</x:v>
      </x:c>
      <x:c r="L138" s="28" t="n">
        <x:v>195.24</x:v>
      </x:c>
      <x:c r="M138" s="28" t="n">
        <x:f t="shared" si="6"/>
        <x:v>50.76</x:v>
      </x:c>
      <x:c r="N138" s="28" t="n">
        <x:f t="shared" si="7">(M138+H138)*A138</x:f>
        <x:v>0</x:v>
      </x:c>
      <x:c r="O138" s="28" t="n">
        <x:v>192.76</x:v>
      </x:c>
      <x:c r="P138" s="28" t="n">
        <x:f t="shared" si="8"/>
        <x:v>57.83</x:v>
      </x:c>
      <x:c r="Q138" s="28" t="n">
        <x:f t="shared" si="9">(P138+H138)*A138</x:f>
        <x:v>0</x:v>
      </x:c>
      <x:c r="R138" s="28" t="n">
        <x:f t="shared" si="25"/>
        <x:v>195.24</x:v>
      </x:c>
      <x:c r="S138" s="28" t="n">
        <x:f t="shared" si="11"/>
        <x:v>58.57</x:v>
      </x:c>
      <x:c r="T138" s="28" t="n">
        <x:f t="shared" si="12">(S138+H138)*A138</x:f>
        <x:v>0</x:v>
      </x:c>
      <x:c r="U138" s="28" t="n">
        <x:f t="shared" si="26"/>
        <x:v>195.24</x:v>
      </x:c>
      <x:c r="V138" s="28" t="n">
        <x:f t="shared" si="14"/>
        <x:v>58.57</x:v>
      </x:c>
      <x:c r="W138" s="28" t="n">
        <x:f t="shared" si="15">(V138+H138)*A138</x:f>
        <x:v>0</x:v>
      </x:c>
      <x:c r="X138" s="28" t="n">
        <x:v>309.41</x:v>
      </x:c>
      <x:c r="Y138" s="28" t="n">
        <x:f t="shared" si="16"/>
        <x:v>92.82</x:v>
      </x:c>
      <x:c r="Z138" s="28" t="n">
        <x:f t="shared" si="17">(Y138+H138)*A138</x:f>
        <x:v>0</x:v>
      </x:c>
      <x:c r="AA138" s="28" t="n">
        <x:v>203.59</x:v>
      </x:c>
      <x:c r="AB138" s="28" t="n">
        <x:f t="shared" si="18"/>
        <x:v>61.08</x:v>
      </x:c>
      <x:c r="AC138" s="28" t="n">
        <x:f t="shared" si="19">(AB138+H138)*A138</x:f>
        <x:v>0</x:v>
      </x:c>
      <x:c r="AD138" s="28" t="n">
        <x:v>224.82</x:v>
      </x:c>
      <x:c r="AE138" s="28" t="n">
        <x:f t="shared" si="20"/>
        <x:v>67.45</x:v>
      </x:c>
      <x:c r="AF138" s="29" t="n">
        <x:f t="shared" si="21">(AE138+H138)*A138</x:f>
        <x:v>0</x:v>
      </x:c>
    </x:row>
    <x:row r="139" ht="15.75" customHeight="1">
      <x:c r="A139" s="26"/>
      <x:c r="B139" s="27" t="s">
        <x:v>282</x:v>
      </x:c>
      <x:c r="C139" s="27" t="s">
        <x:v>283</x:v>
      </x:c>
      <x:c r="D139" s="28" t="n">
        <x:v>351.56</x:v>
      </x:c>
      <x:c r="E139" s="28" t="n">
        <x:f t="shared" si="1"/>
        <x:v>105.47</x:v>
      </x:c>
      <x:c r="F139" s="28" t="n">
        <x:f t="shared" si="2">E139*A139</x:f>
        <x:v>0</x:v>
      </x:c>
      <x:c r="G139" s="28" t="n">
        <x:v>169.74</x:v>
      </x:c>
      <x:c r="H139" s="28" t="n">
        <x:f t="shared" si="3"/>
        <x:v>50.92</x:v>
      </x:c>
      <x:c r="I139" s="28" t="n">
        <x:v>206.97</x:v>
      </x:c>
      <x:c r="J139" s="28" t="n">
        <x:f t="shared" si="4"/>
        <x:v>62.09</x:v>
      </x:c>
      <x:c r="K139" s="28" t="n">
        <x:f t="shared" si="5">(J139+H139)*A139</x:f>
        <x:v>0</x:v>
      </x:c>
      <x:c r="L139" s="28" t="n">
        <x:v>185.51</x:v>
      </x:c>
      <x:c r="M139" s="28" t="n">
        <x:f t="shared" si="6"/>
        <x:v>48.23</x:v>
      </x:c>
      <x:c r="N139" s="28" t="n">
        <x:f t="shared" si="7">(M139+H139)*A139</x:f>
        <x:v>0</x:v>
      </x:c>
      <x:c r="O139" s="28"/>
      <x:c r="P139" s="28" t="n">
        <x:f t="shared" si="8"/>
        <x:v>0</x:v>
      </x:c>
      <x:c r="Q139" s="28" t="n">
        <x:f t="shared" si="9">(P139+H139)*A139</x:f>
        <x:v>0</x:v>
      </x:c>
      <x:c r="R139" s="28" t="n">
        <x:f t="shared" si="25"/>
        <x:v>185.51</x:v>
      </x:c>
      <x:c r="S139" s="28" t="n">
        <x:f t="shared" si="11"/>
        <x:v>55.65</x:v>
      </x:c>
      <x:c r="T139" s="28" t="n">
        <x:f t="shared" si="12">(S139+H139)*A139</x:f>
        <x:v>0</x:v>
      </x:c>
      <x:c r="U139" s="28" t="n">
        <x:f t="shared" si="26"/>
        <x:v>185.51</x:v>
      </x:c>
      <x:c r="V139" s="28" t="n">
        <x:f t="shared" si="14"/>
        <x:v>55.65</x:v>
      </x:c>
      <x:c r="W139" s="28" t="n">
        <x:f t="shared" si="15">(V139+H139)*A139</x:f>
        <x:v>0</x:v>
      </x:c>
      <x:c r="X139" s="28" t="n">
        <x:v>309.41</x:v>
      </x:c>
      <x:c r="Y139" s="28" t="n">
        <x:f t="shared" si="16"/>
        <x:v>92.82</x:v>
      </x:c>
      <x:c r="Z139" s="28" t="n">
        <x:f t="shared" si="17">(Y139+H139)*A139</x:f>
        <x:v>0</x:v>
      </x:c>
      <x:c r="AA139" s="28"/>
      <x:c r="AB139" s="28" t="n">
        <x:f t="shared" si="18"/>
        <x:v>0</x:v>
      </x:c>
      <x:c r="AC139" s="28" t="n">
        <x:f t="shared" si="19">(AB139+H139)*A139</x:f>
        <x:v>0</x:v>
      </x:c>
      <x:c r="AD139" s="28" t="n">
        <x:v>218.38</x:v>
      </x:c>
      <x:c r="AE139" s="28" t="n">
        <x:f t="shared" si="20"/>
        <x:v>65.51</x:v>
      </x:c>
      <x:c r="AF139" s="29" t="n">
        <x:f t="shared" si="21">(AE139+H139)*A139</x:f>
        <x:v>0</x:v>
      </x:c>
    </x:row>
    <x:row r="140" ht="15.75" customHeight="1">
      <x:c r="A140" s="26"/>
      <x:c r="B140" s="27" t="s">
        <x:v>284</x:v>
      </x:c>
      <x:c r="C140" s="27" t="s">
        <x:v>285</x:v>
      </x:c>
      <x:c r="D140" s="28" t="n">
        <x:v>352.03</x:v>
      </x:c>
      <x:c r="E140" s="28" t="n">
        <x:f t="shared" si="1"/>
        <x:v>105.61</x:v>
      </x:c>
      <x:c r="F140" s="28" t="n">
        <x:f t="shared" si="2">E140*A140</x:f>
        <x:v>0</x:v>
      </x:c>
      <x:c r="G140" s="28" t="n">
        <x:v>139.62</x:v>
      </x:c>
      <x:c r="H140" s="28" t="n">
        <x:f t="shared" si="3"/>
        <x:v>41.89</x:v>
      </x:c>
      <x:c r="I140" s="28" t="n">
        <x:v>237.85</x:v>
      </x:c>
      <x:c r="J140" s="28" t="n">
        <x:f t="shared" si="4"/>
        <x:v>71.35</x:v>
      </x:c>
      <x:c r="K140" s="28" t="n">
        <x:f t="shared" si="5">(J140+H140)*A140</x:f>
        <x:v>0</x:v>
      </x:c>
      <x:c r="L140" s="28" t="n">
        <x:v>216.71</x:v>
      </x:c>
      <x:c r="M140" s="28" t="n">
        <x:f t="shared" si="6"/>
        <x:v>56.35</x:v>
      </x:c>
      <x:c r="N140" s="28" t="n">
        <x:f t="shared" si="7">(M140+H140)*A140</x:f>
        <x:v>0</x:v>
      </x:c>
      <x:c r="O140" s="28" t="n">
        <x:v>213.94</x:v>
      </x:c>
      <x:c r="P140" s="28" t="n">
        <x:f t="shared" si="8"/>
        <x:v>64.18</x:v>
      </x:c>
      <x:c r="Q140" s="28" t="n">
        <x:f t="shared" si="9">(P140+H140)*A140</x:f>
        <x:v>0</x:v>
      </x:c>
      <x:c r="R140" s="28" t="n">
        <x:f t="shared" si="25"/>
        <x:v>216.71</x:v>
      </x:c>
      <x:c r="S140" s="28" t="n">
        <x:f t="shared" si="11"/>
        <x:v>65.01</x:v>
      </x:c>
      <x:c r="T140" s="28" t="n">
        <x:f t="shared" si="12">(S140+H140)*A140</x:f>
        <x:v>0</x:v>
      </x:c>
      <x:c r="U140" s="28" t="n">
        <x:f t="shared" si="26"/>
        <x:v>216.71</x:v>
      </x:c>
      <x:c r="V140" s="28" t="n">
        <x:f t="shared" si="14"/>
        <x:v>65.01</x:v>
      </x:c>
      <x:c r="W140" s="28" t="n">
        <x:f t="shared" si="15">(V140+H140)*A140</x:f>
        <x:v>0</x:v>
      </x:c>
      <x:c r="X140" s="28" t="n">
        <x:v>347.28</x:v>
      </x:c>
      <x:c r="Y140" s="28" t="n">
        <x:f t="shared" si="16"/>
        <x:v>104.19</x:v>
      </x:c>
      <x:c r="Z140" s="28" t="n">
        <x:f t="shared" si="17">(Y140+H140)*A140</x:f>
        <x:v>0</x:v>
      </x:c>
      <x:c r="AA140" s="28" t="n">
        <x:v>226.14</x:v>
      </x:c>
      <x:c r="AB140" s="28" t="n">
        <x:f t="shared" si="18"/>
        <x:v>67.84</x:v>
      </x:c>
      <x:c r="AC140" s="28" t="n">
        <x:f t="shared" si="19">(AB140+H140)*A140</x:f>
        <x:v>0</x:v>
      </x:c>
      <x:c r="AD140" s="28" t="n">
        <x:v>248.24</x:v>
      </x:c>
      <x:c r="AE140" s="28" t="n">
        <x:f t="shared" si="20"/>
        <x:v>74.47</x:v>
      </x:c>
      <x:c r="AF140" s="29" t="n">
        <x:f t="shared" si="21">(AE140+H140)*A140</x:f>
        <x:v>0</x:v>
      </x:c>
    </x:row>
    <x:row r="141" ht="15.75" customHeight="1">
      <x:c r="A141" s="26"/>
      <x:c r="B141" s="27" t="s">
        <x:v>286</x:v>
      </x:c>
      <x:c r="C141" s="27" t="s">
        <x:v>275</x:v>
      </x:c>
      <x:c r="D141" s="28" t="n">
        <x:v>385.65</x:v>
      </x:c>
      <x:c r="E141" s="28" t="n">
        <x:f t="shared" si="1"/>
        <x:v>115.69</x:v>
      </x:c>
      <x:c r="F141" s="28" t="n">
        <x:f t="shared" si="2">E141*A141</x:f>
        <x:v>0</x:v>
      </x:c>
      <x:c r="G141" s="28" t="n">
        <x:v>194.24</x:v>
      </x:c>
      <x:c r="H141" s="28" t="n">
        <x:f t="shared" si="3"/>
        <x:v>58.27</x:v>
      </x:c>
      <x:c r="I141" s="28" t="n">
        <x:v>215.03</x:v>
      </x:c>
      <x:c r="J141" s="28" t="n">
        <x:f t="shared" si="4"/>
        <x:v>64.51</x:v>
      </x:c>
      <x:c r="K141" s="28" t="n">
        <x:f t="shared" si="5">(J141+H141)*A141</x:f>
        <x:v>0</x:v>
      </x:c>
      <x:c r="L141" s="28" t="n">
        <x:v>195.58</x:v>
      </x:c>
      <x:c r="M141" s="28" t="n">
        <x:f t="shared" si="6"/>
        <x:v>50.85</x:v>
      </x:c>
      <x:c r="N141" s="28" t="n">
        <x:f t="shared" si="7">(M141+H141)*A141</x:f>
        <x:v>0</x:v>
      </x:c>
      <x:c r="O141" s="28"/>
      <x:c r="P141" s="28" t="n">
        <x:f t="shared" si="8"/>
        <x:v>0</x:v>
      </x:c>
      <x:c r="Q141" s="28" t="n">
        <x:f t="shared" si="9">(P141+H141)*A141</x:f>
        <x:v>0</x:v>
      </x:c>
      <x:c r="R141" s="28" t="n">
        <x:f t="shared" si="25"/>
        <x:v>195.58</x:v>
      </x:c>
      <x:c r="S141" s="28" t="n">
        <x:f t="shared" si="11"/>
        <x:v>58.67</x:v>
      </x:c>
      <x:c r="T141" s="28" t="n">
        <x:f t="shared" si="12">(S141+H141)*A141</x:f>
        <x:v>0</x:v>
      </x:c>
      <x:c r="U141" s="28" t="n">
        <x:f t="shared" si="26"/>
        <x:v>195.58</x:v>
      </x:c>
      <x:c r="V141" s="28" t="n">
        <x:f t="shared" si="14"/>
        <x:v>58.67</x:v>
      </x:c>
      <x:c r="W141" s="28" t="n">
        <x:f t="shared" si="15">(V141+H141)*A141</x:f>
        <x:v>0</x:v>
      </x:c>
      <x:c r="X141" s="28" t="n">
        <x:v>347.28</x:v>
      </x:c>
      <x:c r="Y141" s="28" t="n">
        <x:f t="shared" si="16"/>
        <x:v>104.19</x:v>
      </x:c>
      <x:c r="Z141" s="28" t="n">
        <x:f t="shared" si="17">(Y141+H141)*A141</x:f>
        <x:v>0</x:v>
      </x:c>
      <x:c r="AA141" s="28"/>
      <x:c r="AB141" s="28" t="n">
        <x:f t="shared" si="18"/>
        <x:v>0</x:v>
      </x:c>
      <x:c r="AC141" s="28" t="n">
        <x:f t="shared" si="19">(AB141+H141)*A141</x:f>
        <x:v>0</x:v>
      </x:c>
      <x:c r="AD141" s="28" t="n">
        <x:v>230.47</x:v>
      </x:c>
      <x:c r="AE141" s="28" t="n">
        <x:f t="shared" si="20"/>
        <x:v>69.14</x:v>
      </x:c>
      <x:c r="AF141" s="29" t="n">
        <x:f t="shared" si="21">(AE141+H141)*A141</x:f>
        <x:v>0</x:v>
      </x:c>
    </x:row>
    <x:row r="142" ht="15.75" customHeight="1">
      <x:c r="A142" s="26"/>
      <x:c r="B142" s="27" t="s">
        <x:v>287</x:v>
      </x:c>
      <x:c r="C142" s="27" t="s">
        <x:v>288</x:v>
      </x:c>
      <x:c r="D142" s="28" t="n">
        <x:v>388.74</x:v>
      </x:c>
      <x:c r="E142" s="28" t="n">
        <x:f t="shared" si="1"/>
        <x:v>116.62</x:v>
      </x:c>
      <x:c r="F142" s="28" t="n">
        <x:f t="shared" si="2">E142*A142</x:f>
        <x:v>0</x:v>
      </x:c>
      <x:c r="G142" s="28" t="n">
        <x:v>169.54</x:v>
      </x:c>
      <x:c r="H142" s="28" t="n">
        <x:f t="shared" si="3"/>
        <x:v>50.86</x:v>
      </x:c>
      <x:c r="I142" s="28" t="n">
        <x:v>246.9</x:v>
      </x:c>
      <x:c r="J142" s="28" t="n">
        <x:f t="shared" si="4"/>
        <x:v>74.07</x:v>
      </x:c>
      <x:c r="K142" s="28" t="n">
        <x:f t="shared" si="5">(J142+H142)*A142</x:f>
        <x:v>0</x:v>
      </x:c>
      <x:c r="L142" s="28" t="n">
        <x:v>223.75</x:v>
      </x:c>
      <x:c r="M142" s="28" t="n">
        <x:f t="shared" si="6"/>
        <x:v>58.18</x:v>
      </x:c>
      <x:c r="N142" s="28" t="n">
        <x:f t="shared" si="7">(M142+H142)*A142</x:f>
        <x:v>0</x:v>
      </x:c>
      <x:c r="O142" s="28" t="n">
        <x:v>220.84</x:v>
      </x:c>
      <x:c r="P142" s="28" t="n">
        <x:f t="shared" si="8"/>
        <x:v>66.25</x:v>
      </x:c>
      <x:c r="Q142" s="28" t="n">
        <x:f t="shared" si="9">(P142+H142)*A142</x:f>
        <x:v>0</x:v>
      </x:c>
      <x:c r="R142" s="28" t="n">
        <x:f t="shared" si="25"/>
        <x:v>223.75</x:v>
      </x:c>
      <x:c r="S142" s="28" t="n">
        <x:f t="shared" si="11"/>
        <x:v>67.13</x:v>
      </x:c>
      <x:c r="T142" s="28" t="n">
        <x:f t="shared" si="12">(S142+H142)*A142</x:f>
        <x:v>0</x:v>
      </x:c>
      <x:c r="U142" s="28" t="n">
        <x:f t="shared" si="26"/>
        <x:v>223.75</x:v>
      </x:c>
      <x:c r="V142" s="28" t="n">
        <x:f t="shared" si="14"/>
        <x:v>67.13</x:v>
      </x:c>
      <x:c r="W142" s="28" t="n">
        <x:f t="shared" si="15">(V142+H142)*A142</x:f>
        <x:v>0</x:v>
      </x:c>
      <x:c r="X142" s="28" t="n">
        <x:v>385.67</x:v>
      </x:c>
      <x:c r="Y142" s="28" t="n">
        <x:f t="shared" si="16"/>
        <x:v>115.7</x:v>
      </x:c>
      <x:c r="Z142" s="28" t="n">
        <x:f t="shared" si="17">(Y142+H142)*A142</x:f>
        <x:v>0</x:v>
      </x:c>
      <x:c r="AA142" s="28" t="n">
        <x:v>229.45</x:v>
      </x:c>
      <x:c r="AB142" s="28" t="n">
        <x:f t="shared" si="18"/>
        <x:v>68.84</x:v>
      </x:c>
      <x:c r="AC142" s="28" t="n">
        <x:f t="shared" si="19">(AB142+H142)*A142</x:f>
        <x:v>0</x:v>
      </x:c>
      <x:c r="AD142" s="28" t="n">
        <x:v>259.31</x:v>
      </x:c>
      <x:c r="AE142" s="28" t="n">
        <x:f t="shared" si="20"/>
        <x:v>77.79</x:v>
      </x:c>
      <x:c r="AF142" s="29" t="n">
        <x:f t="shared" si="21">(AE142+H142)*A142</x:f>
        <x:v>0</x:v>
      </x:c>
    </x:row>
    <x:row r="143" ht="15.75" customHeight="1">
      <x:c r="A143" s="26"/>
      <x:c r="B143" s="27" t="s">
        <x:v>289</x:v>
      </x:c>
      <x:c r="C143" s="27" t="s">
        <x:v>290</x:v>
      </x:c>
      <x:c r="D143" s="28" t="n">
        <x:v>434.22</x:v>
      </x:c>
      <x:c r="E143" s="28" t="n">
        <x:f t="shared" si="1"/>
        <x:v>130.27</x:v>
      </x:c>
      <x:c r="F143" s="28" t="n">
        <x:f t="shared" si="2">E143*A143</x:f>
        <x:v>0</x:v>
      </x:c>
      <x:c r="G143" s="28" t="n">
        <x:v>232.29</x:v>
      </x:c>
      <x:c r="H143" s="28" t="n">
        <x:f t="shared" si="3"/>
        <x:v>69.69</x:v>
      </x:c>
      <x:c r="I143" s="28" t="n">
        <x:v>232.74</x:v>
      </x:c>
      <x:c r="J143" s="28" t="n">
        <x:f t="shared" si="4"/>
        <x:v>69.82</x:v>
      </x:c>
      <x:c r="K143" s="28" t="n">
        <x:f t="shared" si="5">(J143+H143)*A143</x:f>
        <x:v>0</x:v>
      </x:c>
      <x:c r="L143" s="28" t="n">
        <x:v>206.97</x:v>
      </x:c>
      <x:c r="M143" s="28" t="n">
        <x:f t="shared" si="6"/>
        <x:v>53.81</x:v>
      </x:c>
      <x:c r="N143" s="28" t="n">
        <x:f t="shared" si="7">(M143+H143)*A143</x:f>
        <x:v>0</x:v>
      </x:c>
      <x:c r="O143" s="28"/>
      <x:c r="P143" s="28" t="n">
        <x:f t="shared" si="8"/>
        <x:v>0</x:v>
      </x:c>
      <x:c r="Q143" s="28" t="n">
        <x:f t="shared" si="9">(P143+H143)*A143</x:f>
        <x:v>0</x:v>
      </x:c>
      <x:c r="R143" s="28" t="n">
        <x:f t="shared" si="25"/>
        <x:v>206.97</x:v>
      </x:c>
      <x:c r="S143" s="28" t="n">
        <x:f t="shared" si="11"/>
        <x:v>62.09</x:v>
      </x:c>
      <x:c r="T143" s="28" t="n">
        <x:f t="shared" si="12">(S143+H143)*A143</x:f>
        <x:v>0</x:v>
      </x:c>
      <x:c r="U143" s="28" t="n">
        <x:f t="shared" si="26"/>
        <x:v>206.97</x:v>
      </x:c>
      <x:c r="V143" s="28" t="n">
        <x:f t="shared" si="14"/>
        <x:v>62.09</x:v>
      </x:c>
      <x:c r="W143" s="28" t="n">
        <x:f t="shared" si="15">(V143+H143)*A143</x:f>
        <x:v>0</x:v>
      </x:c>
      <x:c r="X143" s="28" t="n">
        <x:v>385.67</x:v>
      </x:c>
      <x:c r="Y143" s="28" t="n">
        <x:f t="shared" si="16"/>
        <x:v>115.7</x:v>
      </x:c>
      <x:c r="Z143" s="28" t="n">
        <x:f t="shared" si="17">(Y143+H143)*A143</x:f>
        <x:v>0</x:v>
      </x:c>
      <x:c r="AA143" s="28"/>
      <x:c r="AB143" s="28" t="n">
        <x:f t="shared" si="18"/>
        <x:v>0</x:v>
      </x:c>
      <x:c r="AC143" s="28" t="n">
        <x:f t="shared" si="19">(AB143+H143)*A143</x:f>
        <x:v>0</x:v>
      </x:c>
      <x:c r="AD143" s="28" t="n">
        <x:v>246.09</x:v>
      </x:c>
      <x:c r="AE143" s="28" t="n">
        <x:f t="shared" si="20"/>
        <x:v>73.83</x:v>
      </x:c>
      <x:c r="AF143" s="29" t="n">
        <x:f t="shared" si="21">(AE143+H143)*A143</x:f>
        <x:v>0</x:v>
      </x:c>
    </x:row>
    <x:row r="144" ht="15.75" customHeight="1">
      <x:c r="A144" s="26"/>
      <x:c r="B144" s="27" t="s">
        <x:v>291</x:v>
      </x:c>
      <x:c r="C144" s="27" t="s">
        <x:v>292</x:v>
      </x:c>
      <x:c r="D144" s="28" t="n">
        <x:v>455.93</x:v>
      </x:c>
      <x:c r="E144" s="28" t="n">
        <x:f t="shared" si="1"/>
        <x:v>136.78</x:v>
      </x:c>
      <x:c r="F144" s="28" t="n">
        <x:f t="shared" si="2">E144*A144</x:f>
        <x:v>0</x:v>
      </x:c>
      <x:c r="G144" s="28" t="n">
        <x:v>208.25</x:v>
      </x:c>
      <x:c r="H144" s="28" t="n">
        <x:f t="shared" si="3"/>
        <x:v>62.48</x:v>
      </x:c>
      <x:c r="I144" s="28" t="n">
        <x:v>281.45</x:v>
      </x:c>
      <x:c r="J144" s="28" t="n">
        <x:f t="shared" si="4"/>
        <x:v>84.43</x:v>
      </x:c>
      <x:c r="K144" s="28" t="n">
        <x:f t="shared" si="5">(J144+H144)*A144</x:f>
        <x:v>0</x:v>
      </x:c>
      <x:c r="L144" s="28" t="n">
        <x:v>253.27</x:v>
      </x:c>
      <x:c r="M144" s="28" t="n">
        <x:f t="shared" si="6"/>
        <x:v>65.85</x:v>
      </x:c>
      <x:c r="N144" s="28" t="n">
        <x:f t="shared" si="7">(M144+H144)*A144</x:f>
        <x:v>0</x:v>
      </x:c>
      <x:c r="O144" s="28" t="n">
        <x:v>250.01</x:v>
      </x:c>
      <x:c r="P144" s="28" t="n">
        <x:f t="shared" si="8"/>
        <x:v>75</x:v>
      </x:c>
      <x:c r="Q144" s="28" t="n">
        <x:f t="shared" si="9">(P144+H144)*A144</x:f>
        <x:v>0</x:v>
      </x:c>
      <x:c r="R144" s="28" t="n">
        <x:f t="shared" si="25"/>
        <x:v>253.27</x:v>
      </x:c>
      <x:c r="S144" s="28" t="n">
        <x:f t="shared" si="11"/>
        <x:v>75.98</x:v>
      </x:c>
      <x:c r="T144" s="28" t="n">
        <x:f t="shared" si="12">(S144+H144)*A144</x:f>
        <x:v>0</x:v>
      </x:c>
      <x:c r="U144" s="28" t="n">
        <x:f t="shared" si="26"/>
        <x:v>253.27</x:v>
      </x:c>
      <x:c r="V144" s="28" t="n">
        <x:f t="shared" si="14"/>
        <x:v>75.98</x:v>
      </x:c>
      <x:c r="W144" s="28" t="n">
        <x:f t="shared" si="15">(V144+H144)*A144</x:f>
        <x:v>0</x:v>
      </x:c>
      <x:c r="X144" s="28" t="n">
        <x:v>461.43</x:v>
      </x:c>
      <x:c r="Y144" s="28" t="n">
        <x:f t="shared" si="16"/>
        <x:v>138.43</x:v>
      </x:c>
      <x:c r="Z144" s="28" t="n">
        <x:f t="shared" si="17">(Y144+H144)*A144</x:f>
        <x:v>0</x:v>
      </x:c>
      <x:c r="AA144" s="28" t="n">
        <x:v>282.93</x:v>
      </x:c>
      <x:c r="AB144" s="28" t="n">
        <x:f t="shared" si="18"/>
        <x:v>84.88</x:v>
      </x:c>
      <x:c r="AC144" s="28" t="n">
        <x:f t="shared" si="19">(AB144+H144)*A144</x:f>
        <x:v>0</x:v>
      </x:c>
      <x:c r="AD144" s="28" t="n">
        <x:v>308.29</x:v>
      </x:c>
      <x:c r="AE144" s="28" t="n">
        <x:f t="shared" si="20"/>
        <x:v>92.49</x:v>
      </x:c>
      <x:c r="AF144" s="29" t="n">
        <x:f t="shared" si="21">(AE144+H144)*A144</x:f>
        <x:v>0</x:v>
      </x:c>
    </x:row>
    <x:row r="145" ht="15.75" customHeight="1">
      <x:c r="A145" s="26"/>
      <x:c r="B145" s="27" t="s">
        <x:v>293</x:v>
      </x:c>
      <x:c r="C145" s="27" t="s">
        <x:v>294</x:v>
      </x:c>
      <x:c r="D145" s="28" t="n">
        <x:v>524.59</x:v>
      </x:c>
      <x:c r="E145" s="28" t="n">
        <x:f t="shared" si="1"/>
        <x:v>157.38</x:v>
      </x:c>
      <x:c r="F145" s="28" t="n">
        <x:f t="shared" si="2">E145*A145</x:f>
        <x:v>0</x:v>
      </x:c>
      <x:c r="G145" s="28" t="n">
        <x:v>234.02</x:v>
      </x:c>
      <x:c r="H145" s="28" t="n">
        <x:f t="shared" si="3"/>
        <x:v>70.21</x:v>
      </x:c>
      <x:c r="I145" s="28" t="n">
        <x:v>317.68</x:v>
      </x:c>
      <x:c r="J145" s="28" t="n">
        <x:f t="shared" si="4"/>
        <x:v>95.3</x:v>
      </x:c>
      <x:c r="K145" s="28" t="n">
        <x:f t="shared" si="5">(J145+H145)*A145</x:f>
        <x:v>0</x:v>
      </x:c>
      <x:c r="L145" s="28" t="n">
        <x:v>295.88</x:v>
      </x:c>
      <x:c r="M145" s="28" t="n">
        <x:f t="shared" si="6"/>
        <x:v>76.93</x:v>
      </x:c>
      <x:c r="N145" s="28" t="n">
        <x:f t="shared" si="7">(M145+H145)*A145</x:f>
        <x:v>0</x:v>
      </x:c>
      <x:c r="O145" s="28" t="n">
        <x:v>292.08</x:v>
      </x:c>
      <x:c r="P145" s="28" t="n">
        <x:f t="shared" si="8"/>
        <x:v>87.62</x:v>
      </x:c>
      <x:c r="Q145" s="28" t="n">
        <x:f t="shared" si="9">(P145+H145)*A145</x:f>
        <x:v>0</x:v>
      </x:c>
      <x:c r="R145" s="28" t="n">
        <x:f t="shared" si="25"/>
        <x:v>295.88</x:v>
      </x:c>
      <x:c r="S145" s="28" t="n">
        <x:f t="shared" si="11"/>
        <x:v>88.76</x:v>
      </x:c>
      <x:c r="T145" s="28" t="n">
        <x:f t="shared" si="12">(S145+H145)*A145</x:f>
        <x:v>0</x:v>
      </x:c>
      <x:c r="U145" s="28" t="n">
        <x:f t="shared" si="26"/>
        <x:v>295.88</x:v>
      </x:c>
      <x:c r="V145" s="28" t="n">
        <x:f t="shared" si="14"/>
        <x:v>88.76</x:v>
      </x:c>
      <x:c r="W145" s="28" t="n">
        <x:f t="shared" si="15">(V145+H145)*A145</x:f>
        <x:v>0</x:v>
      </x:c>
      <x:c r="X145" s="28" t="n">
        <x:v>537.19</x:v>
      </x:c>
      <x:c r="Y145" s="28" t="n">
        <x:f t="shared" si="16"/>
        <x:v>161.16</x:v>
      </x:c>
      <x:c r="Z145" s="28" t="n">
        <x:f t="shared" si="17">(Y145+H145)*A145</x:f>
        <x:v>0</x:v>
      </x:c>
      <x:c r="AA145" s="28" t="n">
        <x:v>310.68</x:v>
      </x:c>
      <x:c r="AB145" s="28" t="n">
        <x:f t="shared" si="18"/>
        <x:v>93.2</x:v>
      </x:c>
      <x:c r="AC145" s="28" t="n">
        <x:f t="shared" si="19">(AB145+H145)*A145</x:f>
        <x:v>0</x:v>
      </x:c>
      <x:c r="AD145" s="28" t="n">
        <x:v>343.72</x:v>
      </x:c>
      <x:c r="AE145" s="28" t="n">
        <x:f t="shared" si="20"/>
        <x:v>103.12</x:v>
      </x:c>
      <x:c r="AF145" s="29" t="n">
        <x:f t="shared" si="21">(AE145+H145)*A145</x:f>
        <x:v>0</x:v>
      </x:c>
    </x:row>
    <x:row r="146" ht="15.75" customHeight="1">
      <x:c r="A146" s="26"/>
      <x:c r="B146" s="27" t="s">
        <x:v>295</x:v>
      </x:c>
      <x:c r="C146" s="27" t="s">
        <x:v>296</x:v>
      </x:c>
      <x:c r="D146" s="28" t="n">
        <x:v>583.24</x:v>
      </x:c>
      <x:c r="E146" s="28" t="n">
        <x:f t="shared" si="1"/>
        <x:v>174.97</x:v>
      </x:c>
      <x:c r="F146" s="28" t="n">
        <x:f t="shared" si="2">E146*A146</x:f>
        <x:v>0</x:v>
      </x:c>
      <x:c r="G146" s="28" t="n">
        <x:v>288.16</x:v>
      </x:c>
      <x:c r="H146" s="28" t="n">
        <x:f t="shared" si="3"/>
        <x:v>86.45</x:v>
      </x:c>
      <x:c r="I146" s="28" t="n">
        <x:v>336.47</x:v>
      </x:c>
      <x:c r="J146" s="28" t="n">
        <x:f t="shared" si="4"/>
        <x:v>100.94</x:v>
      </x:c>
      <x:c r="K146" s="28" t="n">
        <x:f t="shared" si="5">(J146+H146)*A146</x:f>
        <x:v>0</x:v>
      </x:c>
      <x:c r="L146" s="28" t="n">
        <x:v>302.25</x:v>
      </x:c>
      <x:c r="M146" s="28" t="n">
        <x:f t="shared" si="6"/>
        <x:v>78.59</x:v>
      </x:c>
      <x:c r="N146" s="28" t="n">
        <x:f t="shared" si="7">(M146+H146)*A146</x:f>
        <x:v>0</x:v>
      </x:c>
      <x:c r="O146" s="28" t="n">
        <x:v>298.36</x:v>
      </x:c>
      <x:c r="P146" s="28" t="n">
        <x:f t="shared" si="8"/>
        <x:v>89.51</x:v>
      </x:c>
      <x:c r="Q146" s="28" t="n">
        <x:f t="shared" si="9">(P146+H146)*A146</x:f>
        <x:v>0</x:v>
      </x:c>
      <x:c r="R146" s="28" t="n">
        <x:f t="shared" si="25"/>
        <x:v>302.25</x:v>
      </x:c>
      <x:c r="S146" s="28" t="n">
        <x:f t="shared" si="11"/>
        <x:v>90.68</x:v>
      </x:c>
      <x:c r="T146" s="28" t="n">
        <x:f t="shared" si="12">(S146+H146)*A146</x:f>
        <x:v>0</x:v>
      </x:c>
      <x:c r="U146" s="28" t="n">
        <x:f t="shared" si="26"/>
        <x:v>302.25</x:v>
      </x:c>
      <x:c r="V146" s="28" t="n">
        <x:f t="shared" si="14"/>
        <x:v>90.68</x:v>
      </x:c>
      <x:c r="W146" s="28" t="n">
        <x:f t="shared" si="15">(V146+H146)*A146</x:f>
        <x:v>0</x:v>
      </x:c>
      <x:c r="X146" s="28" t="n">
        <x:v>613.44</x:v>
      </x:c>
      <x:c r="Y146" s="28" t="n">
        <x:f t="shared" si="16"/>
        <x:v>184.03</x:v>
      </x:c>
      <x:c r="Z146" s="28" t="n">
        <x:f t="shared" si="17">(Y146+H146)*A146</x:f>
        <x:v>0</x:v>
      </x:c>
      <x:c r="AA146" s="28" t="n">
        <x:v>316.23</x:v>
      </x:c>
      <x:c r="AB146" s="28" t="n">
        <x:f t="shared" si="18"/>
        <x:v>94.87</x:v>
      </x:c>
      <x:c r="AC146" s="28" t="n">
        <x:f t="shared" si="19">(AB146+H146)*A146</x:f>
        <x:v>0</x:v>
      </x:c>
      <x:c r="AD146" s="28" t="n">
        <x:v>353.24</x:v>
      </x:c>
      <x:c r="AE146" s="28" t="n">
        <x:f t="shared" si="20"/>
        <x:v>105.97</x:v>
      </x:c>
      <x:c r="AF146" s="29" t="n">
        <x:f t="shared" si="21">(AE146+H146)*A146</x:f>
        <x:v>0</x:v>
      </x:c>
    </x:row>
    <x:row r="147" ht="15.75" customHeight="1">
      <x:c r="A147" s="26"/>
      <x:c r="B147" s="27" t="s">
        <x:v>297</x:v>
      </x:c>
      <x:c r="C147" s="27" t="s">
        <x:v>298</x:v>
      </x:c>
      <x:c r="D147" s="28" t="n">
        <x:v>381.22</x:v>
      </x:c>
      <x:c r="E147" s="28" t="n">
        <x:f t="shared" si="1"/>
        <x:v>114.37</x:v>
      </x:c>
      <x:c r="F147" s="28" t="n">
        <x:f t="shared" si="2">E147*A147</x:f>
        <x:v>0</x:v>
      </x:c>
      <x:c r="G147" s="28" t="n">
        <x:v>180.14</x:v>
      </x:c>
      <x:c r="H147" s="28" t="n">
        <x:f t="shared" si="3"/>
        <x:v>54.04</x:v>
      </x:c>
      <x:c r="I147" s="28" t="n">
        <x:v>225.18</x:v>
      </x:c>
      <x:c r="J147" s="28" t="n">
        <x:f t="shared" si="4"/>
        <x:v>67.56</x:v>
      </x:c>
      <x:c r="K147" s="28" t="n">
        <x:f t="shared" si="5">(J147+H147)*A147</x:f>
        <x:v>0</x:v>
      </x:c>
      <x:c r="L147" s="28" t="n">
        <x:v>205.23</x:v>
      </x:c>
      <x:c r="M147" s="28" t="n">
        <x:f t="shared" si="6"/>
        <x:v>53.36</x:v>
      </x:c>
      <x:c r="N147" s="28" t="n">
        <x:f t="shared" si="7">(M147+H147)*A147</x:f>
        <x:v>0</x:v>
      </x:c>
      <x:c r="O147" s="28" t="n">
        <x:v>202.62</x:v>
      </x:c>
      <x:c r="P147" s="28" t="n">
        <x:f t="shared" si="8"/>
        <x:v>60.79</x:v>
      </x:c>
      <x:c r="Q147" s="28" t="n">
        <x:f t="shared" si="9">(P147+H147)*A147</x:f>
        <x:v>0</x:v>
      </x:c>
      <x:c r="R147" s="28" t="n">
        <x:f t="shared" si="25"/>
        <x:v>205.23</x:v>
      </x:c>
      <x:c r="S147" s="28" t="n">
        <x:f t="shared" si="11"/>
        <x:v>61.57</x:v>
      </x:c>
      <x:c r="T147" s="28" t="n">
        <x:f t="shared" si="12">(S147+H147)*A147</x:f>
        <x:v>0</x:v>
      </x:c>
      <x:c r="U147" s="28" t="n">
        <x:f t="shared" si="26"/>
        <x:v>205.23</x:v>
      </x:c>
      <x:c r="V147" s="28" t="n">
        <x:f t="shared" si="14"/>
        <x:v>61.57</x:v>
      </x:c>
      <x:c r="W147" s="28" t="n">
        <x:f t="shared" si="15">(V147+H147)*A147</x:f>
        <x:v>0</x:v>
      </x:c>
      <x:c r="X147" s="28" t="n">
        <x:v>290.36</x:v>
      </x:c>
      <x:c r="Y147" s="28" t="n">
        <x:f t="shared" si="16"/>
        <x:v>87.11</x:v>
      </x:c>
      <x:c r="Z147" s="28" t="n">
        <x:f t="shared" si="17">(Y147+H147)*A147</x:f>
        <x:v>0</x:v>
      </x:c>
      <x:c r="AA147" s="28" t="n">
        <x:v>216.93</x:v>
      </x:c>
      <x:c r="AB147" s="28" t="n">
        <x:f t="shared" si="18"/>
        <x:v>65.08</x:v>
      </x:c>
      <x:c r="AC147" s="28" t="n">
        <x:f t="shared" si="19">(AB147+H147)*A147</x:f>
        <x:v>0</x:v>
      </x:c>
      <x:c r="AD147" s="28" t="n">
        <x:v>244.59</x:v>
      </x:c>
      <x:c r="AE147" s="28" t="n">
        <x:f t="shared" si="20"/>
        <x:v>73.38</x:v>
      </x:c>
      <x:c r="AF147" s="29" t="n">
        <x:f t="shared" si="21">(AE147+H147)*A147</x:f>
        <x:v>0</x:v>
      </x:c>
    </x:row>
    <x:row r="148" ht="15.75" customHeight="1">
      <x:c r="A148" s="26"/>
      <x:c r="B148" s="27" t="s">
        <x:v>299</x:v>
      </x:c>
      <x:c r="C148" s="27" t="s">
        <x:v>300</x:v>
      </x:c>
      <x:c r="D148" s="28" t="n">
        <x:v>411.14</x:v>
      </x:c>
      <x:c r="E148" s="28" t="n">
        <x:f t="shared" si="1"/>
        <x:v>123.34</x:v>
      </x:c>
      <x:c r="F148" s="28" t="n">
        <x:f t="shared" si="2">E148*A148</x:f>
        <x:v>0</x:v>
      </x:c>
      <x:c r="G148" s="28" t="n">
        <x:v>201.48</x:v>
      </x:c>
      <x:c r="H148" s="28" t="n">
        <x:f t="shared" si="3"/>
        <x:v>60.44</x:v>
      </x:c>
      <x:c r="I148" s="28" t="n">
        <x:v>230.87</x:v>
      </x:c>
      <x:c r="J148" s="28" t="n">
        <x:f t="shared" si="4"/>
        <x:v>69.26</x:v>
      </x:c>
      <x:c r="K148" s="28" t="n">
        <x:f t="shared" si="5">(J148+H148)*A148</x:f>
        <x:v>0</x:v>
      </x:c>
      <x:c r="L148" s="28" t="n">
        <x:v>215.03</x:v>
      </x:c>
      <x:c r="M148" s="28" t="n">
        <x:f t="shared" si="6"/>
        <x:v>55.91</x:v>
      </x:c>
      <x:c r="N148" s="28" t="n">
        <x:f t="shared" si="7">(M148+H148)*A148</x:f>
        <x:v>0</x:v>
      </x:c>
      <x:c r="O148" s="28" t="n">
        <x:v>212.26</x:v>
      </x:c>
      <x:c r="P148" s="28" t="n">
        <x:f t="shared" si="8"/>
        <x:v>63.68</x:v>
      </x:c>
      <x:c r="Q148" s="28" t="n">
        <x:f t="shared" si="9">(P148+H148)*A148</x:f>
        <x:v>0</x:v>
      </x:c>
      <x:c r="R148" s="28" t="n">
        <x:f t="shared" si="25"/>
        <x:v>215.03</x:v>
      </x:c>
      <x:c r="S148" s="28" t="n">
        <x:f t="shared" si="11"/>
        <x:v>64.51</x:v>
      </x:c>
      <x:c r="T148" s="28" t="n">
        <x:f t="shared" si="12">(S148+H148)*A148</x:f>
        <x:v>0</x:v>
      </x:c>
      <x:c r="U148" s="28" t="n">
        <x:f t="shared" si="26"/>
        <x:v>215.03</x:v>
      </x:c>
      <x:c r="V148" s="28" t="n">
        <x:f t="shared" si="14"/>
        <x:v>64.51</x:v>
      </x:c>
      <x:c r="W148" s="28" t="n">
        <x:f t="shared" si="15">(V148+H148)*A148</x:f>
        <x:v>0</x:v>
      </x:c>
      <x:c r="X148" s="28" t="n">
        <x:v>340.63</x:v>
      </x:c>
      <x:c r="Y148" s="28" t="n">
        <x:f t="shared" si="16"/>
        <x:v>102.19</x:v>
      </x:c>
      <x:c r="Z148" s="28" t="n">
        <x:f t="shared" si="17">(Y148+H148)*A148</x:f>
        <x:v>0</x:v>
      </x:c>
      <x:c r="AA148" s="28" t="n">
        <x:v>226.9</x:v>
      </x:c>
      <x:c r="AB148" s="28" t="n">
        <x:f t="shared" si="18"/>
        <x:v>68.07</x:v>
      </x:c>
      <x:c r="AC148" s="28" t="n">
        <x:f t="shared" si="19">(AB148+H148)*A148</x:f>
        <x:v>0</x:v>
      </x:c>
      <x:c r="AD148" s="28" t="n">
        <x:v>251.15</x:v>
      </x:c>
      <x:c r="AE148" s="28" t="n">
        <x:f t="shared" si="20"/>
        <x:v>75.35</x:v>
      </x:c>
      <x:c r="AF148" s="29" t="n">
        <x:f t="shared" si="21">(AE148+H148)*A148</x:f>
        <x:v>0</x:v>
      </x:c>
    </x:row>
    <x:row r="149" ht="15.75" customHeight="1">
      <x:c r="A149" s="26"/>
      <x:c r="B149" s="27" t="s">
        <x:v>301</x:v>
      </x:c>
      <x:c r="C149" s="27" t="s">
        <x:v>302</x:v>
      </x:c>
      <x:c r="D149" s="28" t="n">
        <x:v>430.73</x:v>
      </x:c>
      <x:c r="E149" s="28" t="n">
        <x:f t="shared" si="1"/>
        <x:v>129.22</x:v>
      </x:c>
      <x:c r="F149" s="28" t="n">
        <x:f t="shared" si="2">E149*A149</x:f>
        <x:v>0</x:v>
      </x:c>
      <x:c r="G149" s="28" t="n">
        <x:v>211.81</x:v>
      </x:c>
      <x:c r="H149" s="28" t="n">
        <x:f t="shared" si="3"/>
        <x:v>63.54</x:v>
      </x:c>
      <x:c r="I149" s="28" t="n">
        <x:v>249.24</x:v>
      </x:c>
      <x:c r="J149" s="28" t="n">
        <x:f t="shared" si="4"/>
        <x:v>74.77</x:v>
      </x:c>
      <x:c r="K149" s="28" t="n">
        <x:f t="shared" si="5">(J149+H149)*A149</x:f>
        <x:v>0</x:v>
      </x:c>
      <x:c r="L149" s="28" t="n">
        <x:v>223.75</x:v>
      </x:c>
      <x:c r="M149" s="28" t="n">
        <x:f t="shared" si="6"/>
        <x:v>58.18</x:v>
      </x:c>
      <x:c r="N149" s="28" t="n">
        <x:f t="shared" si="7">(M149+H149)*A149</x:f>
        <x:v>0</x:v>
      </x:c>
      <x:c r="O149" s="28" t="n">
        <x:v>220.84</x:v>
      </x:c>
      <x:c r="P149" s="28" t="n">
        <x:f t="shared" si="8"/>
        <x:v>66.25</x:v>
      </x:c>
      <x:c r="Q149" s="28" t="n">
        <x:f t="shared" si="9">(P149+H149)*A149</x:f>
        <x:v>0</x:v>
      </x:c>
      <x:c r="R149" s="28" t="n">
        <x:f t="shared" si="25"/>
        <x:v>223.75</x:v>
      </x:c>
      <x:c r="S149" s="28" t="n">
        <x:f t="shared" si="11"/>
        <x:v>67.13</x:v>
      </x:c>
      <x:c r="T149" s="28" t="n">
        <x:f t="shared" si="12">(S149+H149)*A149</x:f>
        <x:v>0</x:v>
      </x:c>
      <x:c r="U149" s="28" t="n">
        <x:f t="shared" si="26"/>
        <x:v>223.75</x:v>
      </x:c>
      <x:c r="V149" s="28" t="n">
        <x:f t="shared" si="14"/>
        <x:v>67.13</x:v>
      </x:c>
      <x:c r="W149" s="28" t="n">
        <x:f t="shared" si="15">(V149+H149)*A149</x:f>
        <x:v>0</x:v>
      </x:c>
      <x:c r="X149" s="28" t="n">
        <x:v>391.23</x:v>
      </x:c>
      <x:c r="Y149" s="28" t="n">
        <x:f t="shared" si="16"/>
        <x:v>117.37</x:v>
      </x:c>
      <x:c r="Z149" s="28" t="n">
        <x:f t="shared" si="17">(Y149+H149)*A149</x:f>
        <x:v>0</x:v>
      </x:c>
      <x:c r="AA149" s="28" t="n">
        <x:v>244.74</x:v>
      </x:c>
      <x:c r="AB149" s="28" t="n">
        <x:f t="shared" si="18"/>
        <x:v>73.42</x:v>
      </x:c>
      <x:c r="AC149" s="28" t="n">
        <x:f t="shared" si="19">(AB149+H149)*A149</x:f>
        <x:v>0</x:v>
      </x:c>
      <x:c r="AD149" s="28" t="n">
        <x:v>262.67</x:v>
      </x:c>
      <x:c r="AE149" s="28" t="n">
        <x:f t="shared" si="20"/>
        <x:v>78.8</x:v>
      </x:c>
      <x:c r="AF149" s="29" t="n">
        <x:f t="shared" si="21">(AE149+H149)*A149</x:f>
        <x:v>0</x:v>
      </x:c>
    </x:row>
    <x:row r="150" ht="15.75" customHeight="1">
      <x:c r="A150" s="26"/>
      <x:c r="B150" s="27" t="s">
        <x:v>303</x:v>
      </x:c>
      <x:c r="C150" s="27" t="s">
        <x:v>304</x:v>
      </x:c>
      <x:c r="D150" s="28" t="n">
        <x:v>438.85</x:v>
      </x:c>
      <x:c r="E150" s="28" t="n">
        <x:f t="shared" si="1"/>
        <x:v>131.65</x:v>
      </x:c>
      <x:c r="F150" s="28" t="n">
        <x:f t="shared" si="2">E150*A150</x:f>
        <x:v>0</x:v>
      </x:c>
      <x:c r="G150" s="28" t="n">
        <x:v>264.68</x:v>
      </x:c>
      <x:c r="H150" s="28" t="n">
        <x:f t="shared" si="3"/>
        <x:v>79.4</x:v>
      </x:c>
      <x:c r="I150" s="28" t="n">
        <x:v>205.97</x:v>
      </x:c>
      <x:c r="J150" s="28" t="n">
        <x:f t="shared" si="4"/>
        <x:v>61.79</x:v>
      </x:c>
      <x:c r="K150" s="28" t="n">
        <x:f t="shared" si="5">(J150+H150)*A150</x:f>
        <x:v>0</x:v>
      </x:c>
      <x:c r="L150" s="28" t="n">
        <x:v>178.8</x:v>
      </x:c>
      <x:c r="M150" s="28" t="n">
        <x:f t="shared" si="6"/>
        <x:v>46.49</x:v>
      </x:c>
      <x:c r="N150" s="28" t="n">
        <x:f t="shared" si="7">(M150+H150)*A150</x:f>
        <x:v>0</x:v>
      </x:c>
      <x:c r="O150" s="28" t="n">
        <x:v>176.48</x:v>
      </x:c>
      <x:c r="P150" s="28" t="n">
        <x:f t="shared" si="8"/>
        <x:v>52.94</x:v>
      </x:c>
      <x:c r="Q150" s="28" t="n">
        <x:f t="shared" si="9">(P150+H150)*A150</x:f>
        <x:v>0</x:v>
      </x:c>
      <x:c r="R150" s="28" t="n">
        <x:f t="shared" si="25"/>
        <x:v>178.8</x:v>
      </x:c>
      <x:c r="S150" s="28" t="n">
        <x:f t="shared" si="11"/>
        <x:v>53.64</x:v>
      </x:c>
      <x:c r="T150" s="28" t="n">
        <x:f t="shared" si="12">(S150+H150)*A150</x:f>
        <x:v>0</x:v>
      </x:c>
      <x:c r="U150" s="28" t="n">
        <x:f t="shared" si="26"/>
        <x:v>178.8</x:v>
      </x:c>
      <x:c r="V150" s="28" t="n">
        <x:f t="shared" si="14"/>
        <x:v>53.64</x:v>
      </x:c>
      <x:c r="W150" s="28" t="n">
        <x:f t="shared" si="15">(V150+H150)*A150</x:f>
        <x:v>0</x:v>
      </x:c>
      <x:c r="X150" s="28" t="n">
        <x:v>255.97</x:v>
      </x:c>
      <x:c r="Y150" s="28" t="n">
        <x:f t="shared" si="16"/>
        <x:v>76.79</x:v>
      </x:c>
      <x:c r="Z150" s="28" t="n">
        <x:f t="shared" si="17">(Y150+H150)*A150</x:f>
        <x:v>0</x:v>
      </x:c>
      <x:c r="AA150" s="28" t="n">
        <x:v>189.13</x:v>
      </x:c>
      <x:c r="AB150" s="28" t="n">
        <x:f t="shared" si="18"/>
        <x:v>56.74</x:v>
      </x:c>
      <x:c r="AC150" s="28" t="n">
        <x:f t="shared" si="19">(AB150+H150)*A150</x:f>
        <x:v>0</x:v>
      </x:c>
      <x:c r="AD150" s="28" t="n">
        <x:v>219.19</x:v>
      </x:c>
      <x:c r="AE150" s="28" t="n">
        <x:f t="shared" si="20"/>
        <x:v>65.76</x:v>
      </x:c>
      <x:c r="AF150" s="29" t="n">
        <x:f t="shared" si="21">(AE150+H150)*A150</x:f>
        <x:v>0</x:v>
      </x:c>
    </x:row>
    <x:row r="151" ht="15.75" customHeight="1">
      <x:c r="A151" s="26"/>
      <x:c r="B151" s="27" t="s">
        <x:v>305</x:v>
      </x:c>
      <x:c r="C151" s="27" t="s">
        <x:v>306</x:v>
      </x:c>
      <x:c r="D151" s="28" t="n">
        <x:v>482.52</x:v>
      </x:c>
      <x:c r="E151" s="28" t="n">
        <x:f t="shared" si="1"/>
        <x:v>144.76</x:v>
      </x:c>
      <x:c r="F151" s="28" t="n">
        <x:f t="shared" si="2">E151*A151</x:f>
        <x:v>0</x:v>
      </x:c>
      <x:c r="G151" s="28" t="n">
        <x:v>298.16</x:v>
      </x:c>
      <x:c r="H151" s="28" t="n">
        <x:f t="shared" si="3"/>
        <x:v>89.45</x:v>
      </x:c>
      <x:c r="I151" s="28" t="n">
        <x:v>219.06</x:v>
      </x:c>
      <x:c r="J151" s="28" t="n">
        <x:f t="shared" si="4"/>
        <x:v>65.72</x:v>
      </x:c>
      <x:c r="K151" s="28" t="n">
        <x:f t="shared" si="5">(J151+H151)*A151</x:f>
        <x:v>0</x:v>
      </x:c>
      <x:c r="L151" s="28" t="n">
        <x:v>190.21</x:v>
      </x:c>
      <x:c r="M151" s="28" t="n">
        <x:f t="shared" si="6"/>
        <x:v>49.45</x:v>
      </x:c>
      <x:c r="N151" s="28" t="n">
        <x:f t="shared" si="7">(M151+H151)*A151</x:f>
        <x:v>0</x:v>
      </x:c>
      <x:c r="O151" s="28" t="n">
        <x:v>187.8</x:v>
      </x:c>
      <x:c r="P151" s="28" t="n">
        <x:f t="shared" si="8"/>
        <x:v>56.34</x:v>
      </x:c>
      <x:c r="Q151" s="28" t="n">
        <x:f t="shared" si="9">(P151+H151)*A151</x:f>
        <x:v>0</x:v>
      </x:c>
      <x:c r="R151" s="28" t="n">
        <x:f t="shared" si="25"/>
        <x:v>190.21</x:v>
      </x:c>
      <x:c r="S151" s="28" t="n">
        <x:f t="shared" si="11"/>
        <x:v>57.06</x:v>
      </x:c>
      <x:c r="T151" s="28" t="n">
        <x:f t="shared" si="12">(S151+H151)*A151</x:f>
        <x:v>0</x:v>
      </x:c>
      <x:c r="U151" s="28" t="n">
        <x:f t="shared" si="26"/>
        <x:v>190.21</x:v>
      </x:c>
      <x:c r="V151" s="28" t="n">
        <x:f t="shared" si="14"/>
        <x:v>57.06</x:v>
      </x:c>
      <x:c r="W151" s="28" t="n">
        <x:f t="shared" si="15">(V151+H151)*A151</x:f>
        <x:v>0</x:v>
      </x:c>
      <x:c r="X151" s="28" t="n">
        <x:v>300.5</x:v>
      </x:c>
      <x:c r="Y151" s="28" t="n">
        <x:f t="shared" si="16"/>
        <x:v>90.15</x:v>
      </x:c>
      <x:c r="Z151" s="28" t="n">
        <x:f t="shared" si="17">(Y151+H151)*A151</x:f>
        <x:v>0</x:v>
      </x:c>
      <x:c r="AA151" s="28" t="n">
        <x:v>207.11</x:v>
      </x:c>
      <x:c r="AB151" s="28" t="n">
        <x:f t="shared" si="18"/>
        <x:v>62.13</x:v>
      </x:c>
      <x:c r="AC151" s="28" t="n">
        <x:f t="shared" si="19">(AB151+H151)*A151</x:f>
        <x:v>0</x:v>
      </x:c>
      <x:c r="AD151" s="28" t="n">
        <x:v>233.74</x:v>
      </x:c>
      <x:c r="AE151" s="28" t="n">
        <x:f t="shared" si="20"/>
        <x:v>70.12</x:v>
      </x:c>
      <x:c r="AF151" s="29" t="n">
        <x:f t="shared" si="21">(AE151+H151)*A151</x:f>
        <x:v>0</x:v>
      </x:c>
    </x:row>
    <x:row r="152" ht="15.75" customHeight="1">
      <x:c r="A152" s="26"/>
      <x:c r="B152" s="27" t="s">
        <x:v>307</x:v>
      </x:c>
      <x:c r="C152" s="27" t="s">
        <x:v>308</x:v>
      </x:c>
      <x:c r="D152" s="28" t="n">
        <x:v>516.95</x:v>
      </x:c>
      <x:c r="E152" s="28" t="n">
        <x:f t="shared" si="1"/>
        <x:v>155.08</x:v>
      </x:c>
      <x:c r="F152" s="28" t="n">
        <x:f t="shared" si="2">E152*A152</x:f>
        <x:v>0</x:v>
      </x:c>
      <x:c r="G152" s="28" t="n">
        <x:v>307.55</x:v>
      </x:c>
      <x:c r="H152" s="28" t="n">
        <x:f t="shared" si="3"/>
        <x:v>92.27</x:v>
      </x:c>
      <x:c r="I152" s="28" t="n">
        <x:v>247.03</x:v>
      </x:c>
      <x:c r="J152" s="28" t="n">
        <x:f t="shared" si="4"/>
        <x:v>74.11</x:v>
      </x:c>
      <x:c r="K152" s="28" t="n">
        <x:f t="shared" si="5">(J152+H152)*A152</x:f>
        <x:v>0</x:v>
      </x:c>
      <x:c r="L152" s="28" t="n">
        <x:v>215.7</x:v>
      </x:c>
      <x:c r="M152" s="28" t="n">
        <x:f t="shared" si="6"/>
        <x:v>56.08</x:v>
      </x:c>
      <x:c r="N152" s="28" t="n">
        <x:f t="shared" si="7">(M152+H152)*A152</x:f>
        <x:v>0</x:v>
      </x:c>
      <x:c r="O152" s="28" t="n">
        <x:v>212.96</x:v>
      </x:c>
      <x:c r="P152" s="28" t="n">
        <x:f t="shared" si="8"/>
        <x:v>63.89</x:v>
      </x:c>
      <x:c r="Q152" s="28" t="n">
        <x:f t="shared" si="9">(P152+H152)*A152</x:f>
        <x:v>0</x:v>
      </x:c>
      <x:c r="R152" s="28" t="n">
        <x:f t="shared" si="25"/>
        <x:v>215.7</x:v>
      </x:c>
      <x:c r="S152" s="28" t="n">
        <x:f t="shared" si="11"/>
        <x:v>64.71</x:v>
      </x:c>
      <x:c r="T152" s="28" t="n">
        <x:f t="shared" si="12">(S152+H152)*A152</x:f>
        <x:v>0</x:v>
      </x:c>
      <x:c r="U152" s="28" t="n">
        <x:f t="shared" si="26"/>
        <x:v>215.7</x:v>
      </x:c>
      <x:c r="V152" s="28" t="n">
        <x:f t="shared" si="14"/>
        <x:v>64.71</x:v>
      </x:c>
      <x:c r="W152" s="28" t="n">
        <x:f t="shared" si="15">(V152+H152)*A152</x:f>
        <x:v>0</x:v>
      </x:c>
      <x:c r="X152" s="28" t="n">
        <x:v>345.31</x:v>
      </x:c>
      <x:c r="Y152" s="28" t="n">
        <x:f t="shared" si="16"/>
        <x:v>103.59</x:v>
      </x:c>
      <x:c r="Z152" s="28" t="n">
        <x:f t="shared" si="17">(Y152+H152)*A152</x:f>
        <x:v>0</x:v>
      </x:c>
      <x:c r="AA152" s="28" t="n">
        <x:v>229.3</x:v>
      </x:c>
      <x:c r="AB152" s="28" t="n">
        <x:f t="shared" si="18"/>
        <x:v>68.79</x:v>
      </x:c>
      <x:c r="AC152" s="28" t="n">
        <x:f t="shared" si="19">(AB152+H152)*A152</x:f>
        <x:v>0</x:v>
      </x:c>
      <x:c r="AD152" s="28" t="n">
        <x:v>261.99</x:v>
      </x:c>
      <x:c r="AE152" s="28" t="n">
        <x:f t="shared" si="20"/>
        <x:v>78.6</x:v>
      </x:c>
      <x:c r="AF152" s="29" t="n">
        <x:f t="shared" si="21">(AE152+H152)*A152</x:f>
        <x:v>0</x:v>
      </x:c>
    </x:row>
    <x:row r="153" ht="15.75" customHeight="1">
      <x:c r="A153" s="26"/>
      <x:c r="B153" s="27" t="s">
        <x:v>309</x:v>
      </x:c>
      <x:c r="C153" s="27" t="s">
        <x:v>310</x:v>
      </x:c>
      <x:c r="D153" s="28" t="n">
        <x:v>347.13</x:v>
      </x:c>
      <x:c r="E153" s="28" t="n">
        <x:f t="shared" si="1"/>
        <x:v>104.14</x:v>
      </x:c>
      <x:c r="F153" s="28" t="n">
        <x:f t="shared" si="2">E153*A153</x:f>
        <x:v>0</x:v>
      </x:c>
      <x:c r="G153" s="28"/>
      <x:c r="H153" s="28" t="n">
        <x:f t="shared" si="3"/>
        <x:v>0</x:v>
      </x:c>
      <x:c r="I153" s="28"/>
      <x:c r="J153" s="28" t="n">
        <x:f t="shared" si="4"/>
        <x:v>0</x:v>
      </x:c>
      <x:c r="K153" s="28" t="n">
        <x:f t="shared" si="5">(J153+H153)*A153</x:f>
        <x:v>0</x:v>
      </x:c>
      <x:c r="L153" s="28"/>
      <x:c r="M153" s="28" t="n">
        <x:f t="shared" si="6"/>
        <x:v>0</x:v>
      </x:c>
      <x:c r="N153" s="28" t="n">
        <x:f t="shared" si="7">(M153+H153)*A153</x:f>
        <x:v>0</x:v>
      </x:c>
      <x:c r="O153" s="28"/>
      <x:c r="P153" s="28" t="n">
        <x:f t="shared" si="8"/>
        <x:v>0</x:v>
      </x:c>
      <x:c r="Q153" s="28" t="n">
        <x:f t="shared" si="9">(P153+H153)*A153</x:f>
        <x:v>0</x:v>
      </x:c>
      <x:c r="R153" s="28" t="str">
        <x:f t="shared" si="25"/>
      </x:c>
      <x:c r="S153" s="28" t="n">
        <x:f t="shared" si="11"/>
        <x:v>0</x:v>
      </x:c>
      <x:c r="T153" s="28" t="n">
        <x:f t="shared" si="12">(S153+H153)*A153</x:f>
        <x:v>0</x:v>
      </x:c>
      <x:c r="U153" s="28" t="str">
        <x:f t="shared" si="26"/>
      </x:c>
      <x:c r="V153" s="28" t="n">
        <x:f t="shared" si="14"/>
        <x:v>0</x:v>
      </x:c>
      <x:c r="W153" s="28" t="n">
        <x:f t="shared" si="15">(V153+H153)*A153</x:f>
        <x:v>0</x:v>
      </x:c>
      <x:c r="X153" s="28"/>
      <x:c r="Y153" s="28" t="n">
        <x:f t="shared" si="16"/>
        <x:v>0</x:v>
      </x:c>
      <x:c r="Z153" s="28" t="n">
        <x:f t="shared" si="17">(Y153+H153)*A153</x:f>
        <x:v>0</x:v>
      </x:c>
      <x:c r="AA153" s="28"/>
      <x:c r="AB153" s="28" t="n">
        <x:f t="shared" si="18"/>
        <x:v>0</x:v>
      </x:c>
      <x:c r="AC153" s="28" t="n">
        <x:f t="shared" si="19">(AB153+H153)*A153</x:f>
        <x:v>0</x:v>
      </x:c>
      <x:c r="AD153" s="28"/>
      <x:c r="AE153" s="28" t="n">
        <x:f t="shared" si="20"/>
        <x:v>0</x:v>
      </x:c>
      <x:c r="AF153" s="29" t="n">
        <x:f t="shared" si="21">(AE153+H153)*A153</x:f>
        <x:v>0</x:v>
      </x:c>
    </x:row>
    <x:row r="154" ht="15.75" customHeight="1">
      <x:c r="A154" s="26"/>
      <x:c r="B154" s="27" t="s">
        <x:v>311</x:v>
      </x:c>
      <x:c r="C154" s="27" t="s">
        <x:v>312</x:v>
      </x:c>
      <x:c r="D154" s="28" t="n">
        <x:v>370.92</x:v>
      </x:c>
      <x:c r="E154" s="28" t="n">
        <x:f t="shared" si="1"/>
        <x:v>111.27</x:v>
      </x:c>
      <x:c r="F154" s="28" t="n">
        <x:f t="shared" si="2">E154*A154</x:f>
        <x:v>0</x:v>
      </x:c>
      <x:c r="G154" s="28"/>
      <x:c r="H154" s="28" t="n">
        <x:f t="shared" si="3"/>
        <x:v>0</x:v>
      </x:c>
      <x:c r="I154" s="28"/>
      <x:c r="J154" s="28" t="n">
        <x:f t="shared" si="4"/>
        <x:v>0</x:v>
      </x:c>
      <x:c r="K154" s="28" t="n">
        <x:f t="shared" si="5">(J154+H154)*A154</x:f>
        <x:v>0</x:v>
      </x:c>
      <x:c r="L154" s="28"/>
      <x:c r="M154" s="28" t="n">
        <x:f t="shared" si="6"/>
        <x:v>0</x:v>
      </x:c>
      <x:c r="N154" s="28" t="n">
        <x:f t="shared" si="7">(M154+H154)*A154</x:f>
        <x:v>0</x:v>
      </x:c>
      <x:c r="O154" s="28"/>
      <x:c r="P154" s="28" t="n">
        <x:f t="shared" si="8"/>
        <x:v>0</x:v>
      </x:c>
      <x:c r="Q154" s="28" t="n">
        <x:f t="shared" si="9">(P154+H154)*A154</x:f>
        <x:v>0</x:v>
      </x:c>
      <x:c r="R154" s="28" t="str">
        <x:f t="shared" si="25"/>
      </x:c>
      <x:c r="S154" s="28" t="n">
        <x:f t="shared" si="11"/>
        <x:v>0</x:v>
      </x:c>
      <x:c r="T154" s="28" t="n">
        <x:f t="shared" si="12">(S154+H154)*A154</x:f>
        <x:v>0</x:v>
      </x:c>
      <x:c r="U154" s="28" t="str">
        <x:f t="shared" si="26"/>
      </x:c>
      <x:c r="V154" s="28" t="n">
        <x:f t="shared" si="14"/>
        <x:v>0</x:v>
      </x:c>
      <x:c r="W154" s="28" t="n">
        <x:f t="shared" si="15">(V154+H154)*A154</x:f>
        <x:v>0</x:v>
      </x:c>
      <x:c r="X154" s="28"/>
      <x:c r="Y154" s="28" t="n">
        <x:f t="shared" si="16"/>
        <x:v>0</x:v>
      </x:c>
      <x:c r="Z154" s="28" t="n">
        <x:f t="shared" si="17">(Y154+H154)*A154</x:f>
        <x:v>0</x:v>
      </x:c>
      <x:c r="AA154" s="28"/>
      <x:c r="AB154" s="28" t="n">
        <x:f t="shared" si="18"/>
        <x:v>0</x:v>
      </x:c>
      <x:c r="AC154" s="28" t="n">
        <x:f t="shared" si="19">(AB154+H154)*A154</x:f>
        <x:v>0</x:v>
      </x:c>
      <x:c r="AD154" s="28"/>
      <x:c r="AE154" s="28" t="n">
        <x:f t="shared" si="20"/>
        <x:v>0</x:v>
      </x:c>
      <x:c r="AF154" s="29" t="n">
        <x:f t="shared" si="21">(AE154+H154)*A154</x:f>
        <x:v>0</x:v>
      </x:c>
    </x:row>
    <x:row r="155" ht="15.75" customHeight="1">
      <x:c r="A155" s="26"/>
      <x:c r="B155" s="27" t="s">
        <x:v>313</x:v>
      </x:c>
      <x:c r="C155" s="27" t="s">
        <x:v>314</x:v>
      </x:c>
      <x:c r="D155" s="28" t="n">
        <x:v>449.37</x:v>
      </x:c>
      <x:c r="E155" s="28" t="n">
        <x:f t="shared" si="1"/>
        <x:v>134.81</x:v>
      </x:c>
      <x:c r="F155" s="28" t="n">
        <x:f t="shared" si="2">E155*A155</x:f>
        <x:v>0</x:v>
      </x:c>
      <x:c r="G155" s="28"/>
      <x:c r="H155" s="28" t="n">
        <x:f t="shared" si="3"/>
        <x:v>0</x:v>
      </x:c>
      <x:c r="I155" s="28"/>
      <x:c r="J155" s="28" t="n">
        <x:f t="shared" si="4"/>
        <x:v>0</x:v>
      </x:c>
      <x:c r="K155" s="28" t="n">
        <x:f t="shared" si="5">(J155+H155)*A155</x:f>
        <x:v>0</x:v>
      </x:c>
      <x:c r="L155" s="28"/>
      <x:c r="M155" s="28" t="n">
        <x:f t="shared" si="6"/>
        <x:v>0</x:v>
      </x:c>
      <x:c r="N155" s="28" t="n">
        <x:f t="shared" si="7">(M155+H155)*A155</x:f>
        <x:v>0</x:v>
      </x:c>
      <x:c r="O155" s="28"/>
      <x:c r="P155" s="28" t="n">
        <x:f t="shared" si="8"/>
        <x:v>0</x:v>
      </x:c>
      <x:c r="Q155" s="28" t="n">
        <x:f t="shared" si="9">(P155+H155)*A155</x:f>
        <x:v>0</x:v>
      </x:c>
      <x:c r="R155" s="28" t="str">
        <x:f t="shared" si="25"/>
      </x:c>
      <x:c r="S155" s="28" t="n">
        <x:f t="shared" si="11"/>
        <x:v>0</x:v>
      </x:c>
      <x:c r="T155" s="28" t="n">
        <x:f t="shared" si="12">(S155+H155)*A155</x:f>
        <x:v>0</x:v>
      </x:c>
      <x:c r="U155" s="28" t="str">
        <x:f t="shared" si="26"/>
      </x:c>
      <x:c r="V155" s="28" t="n">
        <x:f t="shared" si="14"/>
        <x:v>0</x:v>
      </x:c>
      <x:c r="W155" s="28" t="n">
        <x:f t="shared" si="15">(V155+H155)*A155</x:f>
        <x:v>0</x:v>
      </x:c>
      <x:c r="X155" s="28"/>
      <x:c r="Y155" s="28" t="n">
        <x:f t="shared" si="16"/>
        <x:v>0</x:v>
      </x:c>
      <x:c r="Z155" s="28" t="n">
        <x:f t="shared" si="17">(Y155+H155)*A155</x:f>
        <x:v>0</x:v>
      </x:c>
      <x:c r="AA155" s="28"/>
      <x:c r="AB155" s="28" t="n">
        <x:f t="shared" si="18"/>
        <x:v>0</x:v>
      </x:c>
      <x:c r="AC155" s="28" t="n">
        <x:f t="shared" si="19">(AB155+H155)*A155</x:f>
        <x:v>0</x:v>
      </x:c>
      <x:c r="AD155" s="28"/>
      <x:c r="AE155" s="28" t="n">
        <x:f t="shared" si="20"/>
        <x:v>0</x:v>
      </x:c>
      <x:c r="AF155" s="29" t="n">
        <x:f t="shared" si="21">(AE155+H155)*A155</x:f>
        <x:v>0</x:v>
      </x:c>
    </x:row>
    <x:row r="156" ht="15.75" customHeight="1">
      <x:c r="A156" s="26"/>
      <x:c r="B156" s="27" t="s">
        <x:v>315</x:v>
      </x:c>
      <x:c r="C156" s="27" t="s">
        <x:v>316</x:v>
      </x:c>
      <x:c r="D156" s="28" t="n">
        <x:v>392.29</x:v>
      </x:c>
      <x:c r="E156" s="28" t="n">
        <x:f t="shared" si="1"/>
        <x:v>117.69</x:v>
      </x:c>
      <x:c r="F156" s="28" t="n">
        <x:f t="shared" si="2">E156*A156</x:f>
        <x:v>0</x:v>
      </x:c>
      <x:c r="G156" s="28"/>
      <x:c r="H156" s="28" t="n">
        <x:f t="shared" si="3"/>
        <x:v>0</x:v>
      </x:c>
      <x:c r="I156" s="28" t="n">
        <x:v>415.84</x:v>
      </x:c>
      <x:c r="J156" s="28" t="n">
        <x:f t="shared" si="4"/>
        <x:v>124.75</x:v>
      </x:c>
      <x:c r="K156" s="28" t="n">
        <x:f t="shared" si="5">(J156+H156)*A156</x:f>
        <x:v>0</x:v>
      </x:c>
      <x:c r="L156" s="28" t="n">
        <x:v>392.29</x:v>
      </x:c>
      <x:c r="M156" s="28" t="n">
        <x:f t="shared" si="6"/>
        <x:v>101.99</x:v>
      </x:c>
      <x:c r="N156" s="28" t="n">
        <x:f t="shared" si="7">(M156+H156)*A156</x:f>
        <x:v>0</x:v>
      </x:c>
      <x:c r="O156" s="28" t="n">
        <x:v>368.81</x:v>
      </x:c>
      <x:c r="P156" s="28" t="n">
        <x:f t="shared" si="8"/>
        <x:v>110.64</x:v>
      </x:c>
      <x:c r="Q156" s="28" t="n">
        <x:f t="shared" si="9">(P156+H156)*A156</x:f>
        <x:v>0</x:v>
      </x:c>
      <x:c r="R156" s="28" t="n">
        <x:f t="shared" si="25"/>
        <x:v>392.29</x:v>
      </x:c>
      <x:c r="S156" s="28" t="n">
        <x:f t="shared" si="11"/>
        <x:v>117.69</x:v>
      </x:c>
      <x:c r="T156" s="28" t="n">
        <x:f t="shared" si="12">(S156+H156)*A156</x:f>
        <x:v>0</x:v>
      </x:c>
      <x:c r="U156" s="28" t="n">
        <x:f t="shared" si="26"/>
        <x:v>392.29</x:v>
      </x:c>
      <x:c r="V156" s="28" t="n">
        <x:f t="shared" si="14"/>
        <x:v>117.69</x:v>
      </x:c>
      <x:c r="W156" s="28" t="n">
        <x:f t="shared" si="15">(V156+H156)*A156</x:f>
        <x:v>0</x:v>
      </x:c>
      <x:c r="X156" s="28" t="n">
        <x:v>808.87</x:v>
      </x:c>
      <x:c r="Y156" s="28" t="n">
        <x:f t="shared" si="16"/>
        <x:v>242.66</x:v>
      </x:c>
      <x:c r="Z156" s="28" t="n">
        <x:f t="shared" si="17">(Y156+H156)*A156</x:f>
        <x:v>0</x:v>
      </x:c>
      <x:c r="AA156" s="28" t="n">
        <x:v>415.84</x:v>
      </x:c>
      <x:c r="AB156" s="28" t="n">
        <x:f t="shared" si="18"/>
        <x:v>124.75</x:v>
      </x:c>
      <x:c r="AC156" s="28" t="n">
        <x:f t="shared" si="19">(AB156+H156)*A156</x:f>
        <x:v>0</x:v>
      </x:c>
      <x:c r="AD156" s="28" t="n">
        <x:v>427.64</x:v>
      </x:c>
      <x:c r="AE156" s="28" t="n">
        <x:f t="shared" si="20"/>
        <x:v>128.29</x:v>
      </x:c>
      <x:c r="AF156" s="29" t="n">
        <x:f t="shared" si="21">(AE156+H156)*A156</x:f>
        <x:v>0</x:v>
      </x:c>
    </x:row>
    <x:row r="157" ht="15.75" customHeight="1">
      <x:c r="A157" s="26"/>
      <x:c r="B157" s="27" t="s">
        <x:v>317</x:v>
      </x:c>
      <x:c r="C157" s="27" t="s">
        <x:v>318</x:v>
      </x:c>
      <x:c r="D157" s="28" t="n">
        <x:v>425.23</x:v>
      </x:c>
      <x:c r="E157" s="28" t="n">
        <x:f t="shared" si="1"/>
        <x:v>127.57</x:v>
      </x:c>
      <x:c r="F157" s="28" t="n">
        <x:f t="shared" si="2">E157*A157</x:f>
        <x:v>0</x:v>
      </x:c>
      <x:c r="G157" s="28"/>
      <x:c r="H157" s="28" t="n">
        <x:f t="shared" si="3"/>
        <x:v>0</x:v>
      </x:c>
      <x:c r="I157" s="28" t="n">
        <x:v>450.8</x:v>
      </x:c>
      <x:c r="J157" s="28" t="n">
        <x:f t="shared" si="4"/>
        <x:v>135.24</x:v>
      </x:c>
      <x:c r="K157" s="28" t="n">
        <x:f t="shared" si="5">(J157+H157)*A157</x:f>
        <x:v>0</x:v>
      </x:c>
      <x:c r="L157" s="28" t="n">
        <x:v>425.23</x:v>
      </x:c>
      <x:c r="M157" s="28" t="n">
        <x:f t="shared" si="6"/>
        <x:v>110.56</x:v>
      </x:c>
      <x:c r="N157" s="28" t="n">
        <x:f t="shared" si="7">(M157+H157)*A157</x:f>
        <x:v>0</x:v>
      </x:c>
      <x:c r="O157" s="28" t="n">
        <x:v>399.76</x:v>
      </x:c>
      <x:c r="P157" s="28" t="n">
        <x:f t="shared" si="8"/>
        <x:v>119.93</x:v>
      </x:c>
      <x:c r="Q157" s="28" t="n">
        <x:f t="shared" si="9">(P157+H157)*A157</x:f>
        <x:v>0</x:v>
      </x:c>
      <x:c r="R157" s="28" t="n">
        <x:f t="shared" si="25"/>
        <x:v>425.23</x:v>
      </x:c>
      <x:c r="S157" s="28" t="n">
        <x:f t="shared" si="11"/>
        <x:v>127.57</x:v>
      </x:c>
      <x:c r="T157" s="28" t="n">
        <x:f t="shared" si="12">(S157+H157)*A157</x:f>
        <x:v>0</x:v>
      </x:c>
      <x:c r="U157" s="28" t="n">
        <x:f t="shared" si="26"/>
        <x:v>425.23</x:v>
      </x:c>
      <x:c r="V157" s="28" t="n">
        <x:f t="shared" si="14"/>
        <x:v>127.57</x:v>
      </x:c>
      <x:c r="W157" s="28" t="n">
        <x:f t="shared" si="15">(V157+H157)*A157</x:f>
        <x:v>0</x:v>
      </x:c>
      <x:c r="X157" s="28" t="n">
        <x:v>952.19</x:v>
      </x:c>
      <x:c r="Y157" s="28" t="n">
        <x:f t="shared" si="16"/>
        <x:v>285.66</x:v>
      </x:c>
      <x:c r="Z157" s="28" t="n">
        <x:f t="shared" si="17">(Y157+H157)*A157</x:f>
        <x:v>0</x:v>
      </x:c>
      <x:c r="AA157" s="28" t="n">
        <x:v>450.8</x:v>
      </x:c>
      <x:c r="AB157" s="28" t="n">
        <x:f t="shared" si="18"/>
        <x:v>135.24</x:v>
      </x:c>
      <x:c r="AC157" s="28" t="n">
        <x:f t="shared" si="19">(AB157+H157)*A157</x:f>
        <x:v>0</x:v>
      </x:c>
      <x:c r="AD157" s="28" t="n">
        <x:v>463.55</x:v>
      </x:c>
      <x:c r="AE157" s="28" t="n">
        <x:f t="shared" si="20"/>
        <x:v>139.06</x:v>
      </x:c>
      <x:c r="AF157" s="29" t="n">
        <x:f t="shared" si="21">(AE157+H157)*A157</x:f>
        <x:v>0</x:v>
      </x:c>
    </x:row>
    <x:row r="158" ht="15.75" customHeight="1">
      <x:c r="A158" s="26"/>
      <x:c r="B158" s="27" t="s">
        <x:v>319</x:v>
      </x:c>
      <x:c r="C158" s="27" t="s">
        <x:v>320</x:v>
      </x:c>
      <x:c r="D158" s="28" t="n">
        <x:v>450.12</x:v>
      </x:c>
      <x:c r="E158" s="28" t="n">
        <x:f t="shared" si="1"/>
        <x:v>135.04</x:v>
      </x:c>
      <x:c r="F158" s="28" t="n">
        <x:f t="shared" si="2">E158*A158</x:f>
        <x:v>0</x:v>
      </x:c>
      <x:c r="G158" s="28"/>
      <x:c r="H158" s="28" t="n">
        <x:f t="shared" si="3"/>
        <x:v>0</x:v>
      </x:c>
      <x:c r="I158" s="28" t="n">
        <x:v>477.09</x:v>
      </x:c>
      <x:c r="J158" s="28" t="n">
        <x:f t="shared" si="4"/>
        <x:v>143.13</x:v>
      </x:c>
      <x:c r="K158" s="28" t="n">
        <x:f t="shared" si="5">(J158+H158)*A158</x:f>
        <x:v>0</x:v>
      </x:c>
      <x:c r="L158" s="28" t="n">
        <x:v>450.12</x:v>
      </x:c>
      <x:c r="M158" s="28" t="n">
        <x:f t="shared" si="6"/>
        <x:v>117.03</x:v>
      </x:c>
      <x:c r="N158" s="28" t="n">
        <x:f t="shared" si="7">(M158+H158)*A158</x:f>
        <x:v>0</x:v>
      </x:c>
      <x:c r="O158" s="28" t="n">
        <x:v>423.19</x:v>
      </x:c>
      <x:c r="P158" s="28" t="n">
        <x:f t="shared" si="8"/>
        <x:v>126.96</x:v>
      </x:c>
      <x:c r="Q158" s="28" t="n">
        <x:f t="shared" si="9">(P158+H158)*A158</x:f>
        <x:v>0</x:v>
      </x:c>
      <x:c r="R158" s="28" t="n">
        <x:f t="shared" si="25"/>
        <x:v>450.12</x:v>
      </x:c>
      <x:c r="S158" s="28" t="n">
        <x:f t="shared" si="11"/>
        <x:v>135.04</x:v>
      </x:c>
      <x:c r="T158" s="28" t="n">
        <x:f t="shared" si="12">(S158+H158)*A158</x:f>
        <x:v>0</x:v>
      </x:c>
      <x:c r="U158" s="28" t="n">
        <x:f t="shared" si="26"/>
        <x:v>450.12</x:v>
      </x:c>
      <x:c r="V158" s="28" t="n">
        <x:f t="shared" si="14"/>
        <x:v>135.04</x:v>
      </x:c>
      <x:c r="W158" s="28" t="n">
        <x:f t="shared" si="15">(V158+H158)*A158</x:f>
        <x:v>0</x:v>
      </x:c>
      <x:c r="X158" s="28" t="n">
        <x:v>1096.44</x:v>
      </x:c>
      <x:c r="Y158" s="28" t="n">
        <x:f t="shared" si="16"/>
        <x:v>328.93</x:v>
      </x:c>
      <x:c r="Z158" s="28" t="n">
        <x:f t="shared" si="17">(Y158+H158)*A158</x:f>
        <x:v>0</x:v>
      </x:c>
      <x:c r="AA158" s="28" t="n">
        <x:v>477.09</x:v>
      </x:c>
      <x:c r="AB158" s="28" t="n">
        <x:f t="shared" si="18"/>
        <x:v>143.13</x:v>
      </x:c>
      <x:c r="AC158" s="28" t="n">
        <x:f t="shared" si="19">(AB158+H158)*A158</x:f>
        <x:v>0</x:v>
      </x:c>
      <x:c r="AD158" s="28" t="n">
        <x:v>490.64</x:v>
      </x:c>
      <x:c r="AE158" s="28" t="n">
        <x:f t="shared" si="20"/>
        <x:v>147.19</x:v>
      </x:c>
      <x:c r="AF158" s="29" t="n">
        <x:f t="shared" si="21">(AE158+H158)*A158</x:f>
        <x:v>0</x:v>
      </x:c>
    </x:row>
    <x:row r="159" ht="15.75" customHeight="1">
      <x:c r="A159" s="26"/>
      <x:c r="B159" s="27" t="s">
        <x:v>321</x:v>
      </x:c>
      <x:c r="C159" s="27"/>
      <x:c r="D159" s="28" t="n">
        <x:v>237.71</x:v>
      </x:c>
      <x:c r="E159" s="28" t="n">
        <x:f t="shared" si="1"/>
        <x:v>71.31</x:v>
      </x:c>
      <x:c r="F159" s="28" t="n">
        <x:f t="shared" si="2">E159*A159</x:f>
        <x:v>0</x:v>
      </x:c>
      <x:c r="G159" s="28"/>
      <x:c r="H159" s="28" t="n">
        <x:f t="shared" si="3"/>
        <x:v>0</x:v>
      </x:c>
      <x:c r="I159" s="28" t="n">
        <x:v>251.93</x:v>
      </x:c>
      <x:c r="J159" s="28" t="n">
        <x:f t="shared" si="4"/>
        <x:v>75.58</x:v>
      </x:c>
      <x:c r="K159" s="28" t="n">
        <x:f t="shared" si="5">(J159+H159)*A159</x:f>
        <x:v>0</x:v>
      </x:c>
      <x:c r="L159" s="28" t="n">
        <x:v>237.71</x:v>
      </x:c>
      <x:c r="M159" s="28" t="n">
        <x:f t="shared" si="6"/>
        <x:v>61.8</x:v>
      </x:c>
      <x:c r="N159" s="28" t="n">
        <x:f t="shared" si="7">(M159+H159)*A159</x:f>
        <x:v>0</x:v>
      </x:c>
      <x:c r="O159" s="28" t="n">
        <x:v>223.5</x:v>
      </x:c>
      <x:c r="P159" s="28" t="n">
        <x:f t="shared" si="8"/>
        <x:v>67.05</x:v>
      </x:c>
      <x:c r="Q159" s="28" t="n">
        <x:f t="shared" si="9">(P159+H159)*A159</x:f>
        <x:v>0</x:v>
      </x:c>
      <x:c r="R159" s="28" t="n">
        <x:f t="shared" si="25"/>
        <x:v>237.71</x:v>
      </x:c>
      <x:c r="S159" s="28" t="n">
        <x:f t="shared" si="11"/>
        <x:v>71.31</x:v>
      </x:c>
      <x:c r="T159" s="28" t="n">
        <x:f t="shared" si="12">(S159+H159)*A159</x:f>
        <x:v>0</x:v>
      </x:c>
      <x:c r="U159" s="28" t="n">
        <x:f t="shared" si="26"/>
        <x:v>237.71</x:v>
      </x:c>
      <x:c r="V159" s="28" t="n">
        <x:f t="shared" si="14"/>
        <x:v>71.31</x:v>
      </x:c>
      <x:c r="W159" s="28" t="n">
        <x:f t="shared" si="15">(V159+H159)*A159</x:f>
        <x:v>0</x:v>
      </x:c>
      <x:c r="X159" s="28" t="n">
        <x:v>399.45</x:v>
      </x:c>
      <x:c r="Y159" s="28" t="n">
        <x:f t="shared" si="16"/>
        <x:v>119.84</x:v>
      </x:c>
      <x:c r="Z159" s="28" t="n">
        <x:f t="shared" si="17">(Y159+H159)*A159</x:f>
        <x:v>0</x:v>
      </x:c>
      <x:c r="AA159" s="28" t="n">
        <x:v>251.93</x:v>
      </x:c>
      <x:c r="AB159" s="28" t="n">
        <x:f t="shared" si="18"/>
        <x:v>75.58</x:v>
      </x:c>
      <x:c r="AC159" s="28" t="n">
        <x:f t="shared" si="19">(AB159+H159)*A159</x:f>
        <x:v>0</x:v>
      </x:c>
      <x:c r="AD159" s="28" t="n">
        <x:v>259.04</x:v>
      </x:c>
      <x:c r="AE159" s="28" t="n">
        <x:f t="shared" si="20"/>
        <x:v>77.71</x:v>
      </x:c>
      <x:c r="AF159" s="29" t="n">
        <x:f t="shared" si="21">(AE159+H159)*A159</x:f>
        <x:v>0</x:v>
      </x:c>
    </x:row>
    <x:row r="160" ht="15.75" customHeight="1">
      <x:c r="A160" s="26"/>
      <x:c r="B160" s="27" t="s">
        <x:v>322</x:v>
      </x:c>
      <x:c r="C160" s="27"/>
      <x:c r="D160" s="28" t="n">
        <x:v>269.77</x:v>
      </x:c>
      <x:c r="E160" s="28" t="n">
        <x:f t="shared" si="1"/>
        <x:v>80.93</x:v>
      </x:c>
      <x:c r="F160" s="28" t="n">
        <x:f t="shared" si="2">E160*A160</x:f>
        <x:v>0</x:v>
      </x:c>
      <x:c r="G160" s="28"/>
      <x:c r="H160" s="28" t="n">
        <x:f t="shared" si="3"/>
        <x:v>0</x:v>
      </x:c>
      <x:c r="I160" s="28" t="n">
        <x:v>286.01</x:v>
      </x:c>
      <x:c r="J160" s="28" t="n">
        <x:f t="shared" si="4"/>
        <x:v>85.8</x:v>
      </x:c>
      <x:c r="K160" s="28" t="n">
        <x:f t="shared" si="5">(J160+H160)*A160</x:f>
        <x:v>0</x:v>
      </x:c>
      <x:c r="L160" s="28" t="n">
        <x:v>269.77</x:v>
      </x:c>
      <x:c r="M160" s="28" t="n">
        <x:f t="shared" si="6"/>
        <x:v>70.14</x:v>
      </x:c>
      <x:c r="N160" s="28" t="n">
        <x:f t="shared" si="7">(M160+H160)*A160</x:f>
        <x:v>0</x:v>
      </x:c>
      <x:c r="O160" s="28" t="n">
        <x:v>253.64</x:v>
      </x:c>
      <x:c r="P160" s="28" t="n">
        <x:f t="shared" si="8"/>
        <x:v>76.09</x:v>
      </x:c>
      <x:c r="Q160" s="28" t="n">
        <x:f t="shared" si="9">(P160+H160)*A160</x:f>
        <x:v>0</x:v>
      </x:c>
      <x:c r="R160" s="28" t="n">
        <x:f t="shared" si="25"/>
        <x:v>269.77</x:v>
      </x:c>
      <x:c r="S160" s="28" t="n">
        <x:f t="shared" si="11"/>
        <x:v>80.93</x:v>
      </x:c>
      <x:c r="T160" s="28" t="n">
        <x:f t="shared" si="12">(S160+H160)*A160</x:f>
        <x:v>0</x:v>
      </x:c>
      <x:c r="U160" s="28" t="n">
        <x:f t="shared" si="26"/>
        <x:v>269.77</x:v>
      </x:c>
      <x:c r="V160" s="28" t="n">
        <x:f t="shared" si="14"/>
        <x:v>80.93</x:v>
      </x:c>
      <x:c r="W160" s="28" t="n">
        <x:f t="shared" si="15">(V160+H160)*A160</x:f>
        <x:v>0</x:v>
      </x:c>
      <x:c r="X160" s="28" t="n">
        <x:v>445.81</x:v>
      </x:c>
      <x:c r="Y160" s="28" t="n">
        <x:f t="shared" si="16"/>
        <x:v>133.74</x:v>
      </x:c>
      <x:c r="Z160" s="28" t="n">
        <x:f t="shared" si="17">(Y160+H160)*A160</x:f>
        <x:v>0</x:v>
      </x:c>
      <x:c r="AA160" s="28" t="n">
        <x:v>286.01</x:v>
      </x:c>
      <x:c r="AB160" s="28" t="n">
        <x:f t="shared" si="18"/>
        <x:v>85.8</x:v>
      </x:c>
      <x:c r="AC160" s="28" t="n">
        <x:f t="shared" si="19">(AB160+H160)*A160</x:f>
        <x:v>0</x:v>
      </x:c>
      <x:c r="AD160" s="28" t="n">
        <x:v>294.07</x:v>
      </x:c>
      <x:c r="AE160" s="28" t="n">
        <x:f t="shared" si="20"/>
        <x:v>88.22</x:v>
      </x:c>
      <x:c r="AF160" s="29" t="n">
        <x:f t="shared" si="21">(AE160+H160)*A160</x:f>
        <x:v>0</x:v>
      </x:c>
    </x:row>
    <x:row r="161" ht="15.75" customHeight="1">
      <x:c r="A161" s="26"/>
      <x:c r="B161" s="27" t="s">
        <x:v>323</x:v>
      </x:c>
      <x:c r="C161" s="27"/>
      <x:c r="D161" s="28" t="n">
        <x:v>105.53</x:v>
      </x:c>
      <x:c r="E161" s="28" t="n">
        <x:f t="shared" si="1"/>
        <x:v>31.66</x:v>
      </x:c>
      <x:c r="F161" s="28" t="n">
        <x:f t="shared" si="2">E161*A161</x:f>
        <x:v>0</x:v>
      </x:c>
      <x:c r="G161" s="28"/>
      <x:c r="H161" s="28" t="n">
        <x:f t="shared" si="3"/>
        <x:v>0</x:v>
      </x:c>
      <x:c r="I161" s="28" t="n">
        <x:v>111.91</x:v>
      </x:c>
      <x:c r="J161" s="28" t="n">
        <x:f t="shared" si="4"/>
        <x:v>33.57</x:v>
      </x:c>
      <x:c r="K161" s="28" t="n">
        <x:f t="shared" si="5">(J161+H161)*A161</x:f>
        <x:v>0</x:v>
      </x:c>
      <x:c r="L161" s="28" t="n">
        <x:v>105.53</x:v>
      </x:c>
      <x:c r="M161" s="28" t="n">
        <x:f t="shared" si="6"/>
        <x:v>27.44</x:v>
      </x:c>
      <x:c r="N161" s="28" t="n">
        <x:f t="shared" si="7">(M161+H161)*A161</x:f>
        <x:v>0</x:v>
      </x:c>
      <x:c r="O161" s="28" t="n">
        <x:v>99.25</x:v>
      </x:c>
      <x:c r="P161" s="28" t="n">
        <x:f t="shared" si="8"/>
        <x:v>29.77</x:v>
      </x:c>
      <x:c r="Q161" s="28" t="n">
        <x:f t="shared" si="9">(P161+H161)*A161</x:f>
        <x:v>0</x:v>
      </x:c>
      <x:c r="R161" s="28" t="n">
        <x:f t="shared" si="25"/>
        <x:v>105.53</x:v>
      </x:c>
      <x:c r="S161" s="28" t="n">
        <x:f t="shared" si="11"/>
        <x:v>31.66</x:v>
      </x:c>
      <x:c r="T161" s="28" t="n">
        <x:f t="shared" si="12">(S161+H161)*A161</x:f>
        <x:v>0</x:v>
      </x:c>
      <x:c r="U161" s="28" t="n">
        <x:f t="shared" si="26"/>
        <x:v>105.53</x:v>
      </x:c>
      <x:c r="V161" s="28" t="n">
        <x:f t="shared" si="14"/>
        <x:v>31.66</x:v>
      </x:c>
      <x:c r="W161" s="28" t="n">
        <x:f t="shared" si="15">(V161+H161)*A161</x:f>
        <x:v>0</x:v>
      </x:c>
      <x:c r="X161" s="28" t="n">
        <x:v>383.04</x:v>
      </x:c>
      <x:c r="Y161" s="28" t="n">
        <x:f t="shared" si="16"/>
        <x:v>114.91</x:v>
      </x:c>
      <x:c r="Z161" s="28" t="n">
        <x:f t="shared" si="17">(Y161+H161)*A161</x:f>
        <x:v>0</x:v>
      </x:c>
      <x:c r="AA161" s="28" t="n">
        <x:v>111.91</x:v>
      </x:c>
      <x:c r="AB161" s="28" t="n">
        <x:f t="shared" si="18"/>
        <x:v>33.57</x:v>
      </x:c>
      <x:c r="AC161" s="28" t="n">
        <x:f t="shared" si="19">(AB161+H161)*A161</x:f>
        <x:v>0</x:v>
      </x:c>
      <x:c r="AD161" s="28" t="n">
        <x:v>115.06</x:v>
      </x:c>
      <x:c r="AE161" s="28" t="n">
        <x:f t="shared" si="20"/>
        <x:v>34.52</x:v>
      </x:c>
      <x:c r="AF161" s="29" t="n">
        <x:f t="shared" si="21">(AE161+H161)*A161</x:f>
        <x:v>0</x:v>
      </x:c>
    </x:row>
    <x:row r="162" ht="15.75" customHeight="1">
      <x:c r="A162" s="26"/>
      <x:c r="B162" s="27" t="s">
        <x:v>324</x:v>
      </x:c>
      <x:c r="C162" s="27"/>
      <x:c r="D162" s="28" t="n">
        <x:v>125.32</x:v>
      </x:c>
      <x:c r="E162" s="28" t="n">
        <x:f t="shared" si="1"/>
        <x:v>37.6</x:v>
      </x:c>
      <x:c r="F162" s="28" t="n">
        <x:f t="shared" si="2">E162*A162</x:f>
        <x:v>0</x:v>
      </x:c>
      <x:c r="G162" s="28"/>
      <x:c r="H162" s="28" t="n">
        <x:f t="shared" si="3"/>
        <x:v>0</x:v>
      </x:c>
      <x:c r="I162" s="28" t="n">
        <x:v>132.84</x:v>
      </x:c>
      <x:c r="J162" s="28" t="n">
        <x:f t="shared" si="4"/>
        <x:v>39.85</x:v>
      </x:c>
      <x:c r="K162" s="28" t="n">
        <x:f t="shared" si="5">(J162+H162)*A162</x:f>
        <x:v>0</x:v>
      </x:c>
      <x:c r="L162" s="28" t="n">
        <x:v>125.32</x:v>
      </x:c>
      <x:c r="M162" s="28" t="n">
        <x:f t="shared" si="6"/>
        <x:v>32.58</x:v>
      </x:c>
      <x:c r="N162" s="28" t="n">
        <x:f t="shared" si="7">(M162+H162)*A162</x:f>
        <x:v>0</x:v>
      </x:c>
      <x:c r="O162" s="28" t="n">
        <x:v>117.83</x:v>
      </x:c>
      <x:c r="P162" s="28" t="n">
        <x:f t="shared" si="8"/>
        <x:v>35.35</x:v>
      </x:c>
      <x:c r="Q162" s="28" t="n">
        <x:f t="shared" si="9">(P162+H162)*A162</x:f>
        <x:v>0</x:v>
      </x:c>
      <x:c r="R162" s="28" t="n">
        <x:f t="shared" si="25"/>
        <x:v>125.32</x:v>
      </x:c>
      <x:c r="S162" s="28" t="n">
        <x:f t="shared" si="11"/>
        <x:v>37.6</x:v>
      </x:c>
      <x:c r="T162" s="28" t="n">
        <x:f t="shared" si="12">(S162+H162)*A162</x:f>
        <x:v>0</x:v>
      </x:c>
      <x:c r="U162" s="28" t="n">
        <x:f t="shared" si="26"/>
        <x:v>125.32</x:v>
      </x:c>
      <x:c r="V162" s="28" t="n">
        <x:f t="shared" si="14"/>
        <x:v>37.6</x:v>
      </x:c>
      <x:c r="W162" s="28" t="n">
        <x:f t="shared" si="15">(V162+H162)*A162</x:f>
        <x:v>0</x:v>
      </x:c>
      <x:c r="X162" s="28" t="n">
        <x:v>469.73</x:v>
      </x:c>
      <x:c r="Y162" s="28" t="n">
        <x:f t="shared" si="16"/>
        <x:v>140.92</x:v>
      </x:c>
      <x:c r="Z162" s="28" t="n">
        <x:f t="shared" si="17">(Y162+H162)*A162</x:f>
        <x:v>0</x:v>
      </x:c>
      <x:c r="AA162" s="28" t="n">
        <x:v>132.84</x:v>
      </x:c>
      <x:c r="AB162" s="28" t="n">
        <x:f t="shared" si="18"/>
        <x:v>39.85</x:v>
      </x:c>
      <x:c r="AC162" s="28" t="n">
        <x:f t="shared" si="19">(AB162+H162)*A162</x:f>
        <x:v>0</x:v>
      </x:c>
      <x:c r="AD162" s="28" t="n">
        <x:v>136.59</x:v>
      </x:c>
      <x:c r="AE162" s="28" t="n">
        <x:f t="shared" si="20"/>
        <x:v>40.98</x:v>
      </x:c>
      <x:c r="AF162" s="29" t="n">
        <x:f t="shared" si="21">(AE162+H162)*A162</x:f>
        <x:v>0</x:v>
      </x:c>
    </x:row>
    <x:row r="163" ht="15.75" customHeight="1">
      <x:c r="A163" s="26"/>
      <x:c r="B163" s="27" t="s">
        <x:v>321</x:v>
      </x:c>
      <x:c r="C163" s="27" t="s">
        <x:v>325</x:v>
      </x:c>
      <x:c r="D163" s="28" t="n">
        <x:v>329.69</x:v>
      </x:c>
      <x:c r="E163" s="28" t="n">
        <x:f t="shared" si="1"/>
        <x:v>98.91</x:v>
      </x:c>
      <x:c r="F163" s="28" t="n">
        <x:f t="shared" si="2">E163*A163</x:f>
        <x:v>0</x:v>
      </x:c>
      <x:c r="G163" s="28"/>
      <x:c r="H163" s="28" t="n">
        <x:f t="shared" si="3"/>
        <x:v>0</x:v>
      </x:c>
      <x:c r="I163" s="28"/>
      <x:c r="J163" s="28" t="n">
        <x:f t="shared" si="4"/>
        <x:v>0</x:v>
      </x:c>
      <x:c r="K163" s="28" t="n">
        <x:f t="shared" si="5">(J163+H163)*A163</x:f>
        <x:v>0</x:v>
      </x:c>
      <x:c r="L163" s="28"/>
      <x:c r="M163" s="28" t="n">
        <x:f t="shared" si="6"/>
        <x:v>0</x:v>
      </x:c>
      <x:c r="N163" s="28" t="n">
        <x:f t="shared" si="7">(M163+H163)*A163</x:f>
        <x:v>0</x:v>
      </x:c>
      <x:c r="O163" s="28"/>
      <x:c r="P163" s="28" t="n">
        <x:f t="shared" si="8"/>
        <x:v>0</x:v>
      </x:c>
      <x:c r="Q163" s="28" t="n">
        <x:f t="shared" si="9">(P163+H163)*A163</x:f>
        <x:v>0</x:v>
      </x:c>
      <x:c r="R163" s="28" t="str">
        <x:f t="shared" si="25"/>
      </x:c>
      <x:c r="S163" s="28" t="n">
        <x:f t="shared" si="11"/>
        <x:v>0</x:v>
      </x:c>
      <x:c r="T163" s="28" t="n">
        <x:f t="shared" si="12">(S163+H163)*A163</x:f>
        <x:v>0</x:v>
      </x:c>
      <x:c r="U163" s="28" t="str">
        <x:f t="shared" si="26"/>
      </x:c>
      <x:c r="V163" s="28" t="n">
        <x:f t="shared" si="14"/>
        <x:v>0</x:v>
      </x:c>
      <x:c r="W163" s="28" t="n">
        <x:f t="shared" si="15">(V163+H163)*A163</x:f>
        <x:v>0</x:v>
      </x:c>
      <x:c r="X163" s="28"/>
      <x:c r="Y163" s="28" t="n">
        <x:f t="shared" si="16"/>
        <x:v>0</x:v>
      </x:c>
      <x:c r="Z163" s="28" t="n">
        <x:f t="shared" si="17">(Y163+H163)*A163</x:f>
        <x:v>0</x:v>
      </x:c>
      <x:c r="AA163" s="28"/>
      <x:c r="AB163" s="28" t="n">
        <x:f t="shared" si="18"/>
        <x:v>0</x:v>
      </x:c>
      <x:c r="AC163" s="28" t="n">
        <x:f t="shared" si="19">(AB163+H163)*A163</x:f>
        <x:v>0</x:v>
      </x:c>
      <x:c r="AD163" s="28"/>
      <x:c r="AE163" s="28" t="n">
        <x:f t="shared" si="20"/>
        <x:v>0</x:v>
      </x:c>
      <x:c r="AF163" s="29" t="n">
        <x:f t="shared" si="21">(AE163+H163)*A163</x:f>
        <x:v>0</x:v>
      </x:c>
    </x:row>
    <x:row r="164" ht="15.75" customHeight="1">
      <x:c r="A164" s="26"/>
      <x:c r="B164" s="27" t="s">
        <x:v>326</x:v>
      </x:c>
      <x:c r="C164" s="27" t="s">
        <x:v>327</x:v>
      </x:c>
      <x:c r="D164" s="28" t="n">
        <x:v>351.76</x:v>
      </x:c>
      <x:c r="E164" s="28" t="n">
        <x:f t="shared" si="1"/>
        <x:v>105.53</x:v>
      </x:c>
      <x:c r="F164" s="28" t="n">
        <x:f t="shared" si="2">E164*A164</x:f>
        <x:v>0</x:v>
      </x:c>
      <x:c r="G164" s="28"/>
      <x:c r="H164" s="28" t="n">
        <x:f t="shared" si="3"/>
        <x:v>0</x:v>
      </x:c>
      <x:c r="I164" s="28"/>
      <x:c r="J164" s="28" t="n">
        <x:f t="shared" si="4"/>
        <x:v>0</x:v>
      </x:c>
      <x:c r="K164" s="28" t="n">
        <x:f t="shared" si="5">(J164+H164)*A164</x:f>
        <x:v>0</x:v>
      </x:c>
      <x:c r="L164" s="28"/>
      <x:c r="M164" s="28" t="n">
        <x:f t="shared" si="6"/>
        <x:v>0</x:v>
      </x:c>
      <x:c r="N164" s="28" t="n">
        <x:f t="shared" si="7">(M164+H164)*A164</x:f>
        <x:v>0</x:v>
      </x:c>
      <x:c r="O164" s="28"/>
      <x:c r="P164" s="28" t="n">
        <x:f t="shared" si="8"/>
        <x:v>0</x:v>
      </x:c>
      <x:c r="Q164" s="28" t="n">
        <x:f t="shared" si="9">(P164+H164)*A164</x:f>
        <x:v>0</x:v>
      </x:c>
      <x:c r="R164" s="28" t="str">
        <x:f t="shared" si="25"/>
      </x:c>
      <x:c r="S164" s="28" t="n">
        <x:f t="shared" si="11"/>
        <x:v>0</x:v>
      </x:c>
      <x:c r="T164" s="28" t="n">
        <x:f t="shared" si="12">(S164+H164)*A164</x:f>
        <x:v>0</x:v>
      </x:c>
      <x:c r="U164" s="28" t="str">
        <x:f t="shared" si="26"/>
      </x:c>
      <x:c r="V164" s="28" t="n">
        <x:f t="shared" si="14"/>
        <x:v>0</x:v>
      </x:c>
      <x:c r="W164" s="28" t="n">
        <x:f t="shared" si="15">(V164+H164)*A164</x:f>
        <x:v>0</x:v>
      </x:c>
      <x:c r="X164" s="28"/>
      <x:c r="Y164" s="28" t="n">
        <x:f t="shared" si="16"/>
        <x:v>0</x:v>
      </x:c>
      <x:c r="Z164" s="28" t="n">
        <x:f t="shared" si="17">(Y164+H164)*A164</x:f>
        <x:v>0</x:v>
      </x:c>
      <x:c r="AA164" s="28"/>
      <x:c r="AB164" s="28" t="n">
        <x:f t="shared" si="18"/>
        <x:v>0</x:v>
      </x:c>
      <x:c r="AC164" s="28" t="n">
        <x:f t="shared" si="19">(AB164+H164)*A164</x:f>
        <x:v>0</x:v>
      </x:c>
      <x:c r="AD164" s="28"/>
      <x:c r="AE164" s="28" t="n">
        <x:f t="shared" si="20"/>
        <x:v>0</x:v>
      </x:c>
      <x:c r="AF164" s="29" t="n">
        <x:f t="shared" si="21">(AE164+H164)*A164</x:f>
        <x:v>0</x:v>
      </x:c>
    </x:row>
    <x:row r="165" ht="15.75" customHeight="1">
      <x:c r="A165" s="26"/>
      <x:c r="B165" s="27" t="s">
        <x:v>328</x:v>
      </x:c>
      <x:c r="C165" s="27" t="s">
        <x:v>329</x:v>
      </x:c>
      <x:c r="D165" s="28" t="n">
        <x:v>184.37</x:v>
      </x:c>
      <x:c r="E165" s="28" t="n">
        <x:f t="shared" si="1"/>
        <x:v>55.31</x:v>
      </x:c>
      <x:c r="F165" s="28" t="n">
        <x:f t="shared" si="2">E165*A165</x:f>
        <x:v>0</x:v>
      </x:c>
      <x:c r="G165" s="28"/>
      <x:c r="H165" s="28" t="n">
        <x:f t="shared" si="3"/>
        <x:v>0</x:v>
      </x:c>
      <x:c r="I165" s="28"/>
      <x:c r="J165" s="28" t="n">
        <x:f t="shared" si="4"/>
        <x:v>0</x:v>
      </x:c>
      <x:c r="K165" s="28" t="n">
        <x:f t="shared" si="5">(J165+H165)*A165</x:f>
        <x:v>0</x:v>
      </x:c>
      <x:c r="L165" s="28"/>
      <x:c r="M165" s="28" t="n">
        <x:f t="shared" si="6"/>
        <x:v>0</x:v>
      </x:c>
      <x:c r="N165" s="28" t="n">
        <x:f t="shared" si="7">(M165+H165)*A165</x:f>
        <x:v>0</x:v>
      </x:c>
      <x:c r="O165" s="28"/>
      <x:c r="P165" s="28" t="n">
        <x:f t="shared" si="8"/>
        <x:v>0</x:v>
      </x:c>
      <x:c r="Q165" s="28" t="n">
        <x:f t="shared" si="9">(P165+H165)*A165</x:f>
        <x:v>0</x:v>
      </x:c>
      <x:c r="R165" s="28" t="str">
        <x:f t="shared" si="25"/>
      </x:c>
      <x:c r="S165" s="28" t="n">
        <x:f t="shared" si="11"/>
        <x:v>0</x:v>
      </x:c>
      <x:c r="T165" s="28" t="n">
        <x:f t="shared" si="12">(S165+H165)*A165</x:f>
        <x:v>0</x:v>
      </x:c>
      <x:c r="U165" s="28" t="str">
        <x:f t="shared" si="26"/>
      </x:c>
      <x:c r="V165" s="28" t="n">
        <x:f t="shared" si="14"/>
        <x:v>0</x:v>
      </x:c>
      <x:c r="W165" s="28" t="n">
        <x:f t="shared" si="15">(V165+H165)*A165</x:f>
        <x:v>0</x:v>
      </x:c>
      <x:c r="X165" s="28"/>
      <x:c r="Y165" s="28" t="n">
        <x:f t="shared" si="16"/>
        <x:v>0</x:v>
      </x:c>
      <x:c r="Z165" s="28" t="n">
        <x:f t="shared" si="17">(Y165+H165)*A165</x:f>
        <x:v>0</x:v>
      </x:c>
      <x:c r="AA165" s="28"/>
      <x:c r="AB165" s="28" t="n">
        <x:f t="shared" si="18"/>
        <x:v>0</x:v>
      </x:c>
      <x:c r="AC165" s="28" t="n">
        <x:f t="shared" si="19">(AB165+H165)*A165</x:f>
        <x:v>0</x:v>
      </x:c>
      <x:c r="AD165" s="28"/>
      <x:c r="AE165" s="28" t="n">
        <x:f t="shared" si="20"/>
        <x:v>0</x:v>
      </x:c>
      <x:c r="AF165" s="29" t="n">
        <x:f t="shared" si="21">(AE165+H165)*A165</x:f>
        <x:v>0</x:v>
      </x:c>
    </x:row>
    <x:row r="166" ht="15.75" customHeight="1">
      <x:c r="A166" s="26"/>
      <x:c r="B166" s="27" t="s">
        <x:v>330</x:v>
      </x:c>
      <x:c r="C166" s="27" t="s">
        <x:v>331</x:v>
      </x:c>
      <x:c r="D166" s="28" t="n">
        <x:v>231.03</x:v>
      </x:c>
      <x:c r="E166" s="28" t="n">
        <x:f t="shared" si="1"/>
        <x:v>69.31</x:v>
      </x:c>
      <x:c r="F166" s="28" t="n">
        <x:f t="shared" si="2">E166*A166</x:f>
        <x:v>0</x:v>
      </x:c>
      <x:c r="G166" s="28"/>
      <x:c r="H166" s="28" t="n">
        <x:f t="shared" si="3"/>
        <x:v>0</x:v>
      </x:c>
      <x:c r="I166" s="28"/>
      <x:c r="J166" s="28" t="n">
        <x:f t="shared" si="4"/>
        <x:v>0</x:v>
      </x:c>
      <x:c r="K166" s="28" t="n">
        <x:f t="shared" si="5">(J166+H166)*A166</x:f>
        <x:v>0</x:v>
      </x:c>
      <x:c r="L166" s="28"/>
      <x:c r="M166" s="28" t="n">
        <x:f t="shared" si="6"/>
        <x:v>0</x:v>
      </x:c>
      <x:c r="N166" s="28" t="n">
        <x:f t="shared" si="7">(M166+H166)*A166</x:f>
        <x:v>0</x:v>
      </x:c>
      <x:c r="O166" s="28"/>
      <x:c r="P166" s="28" t="n">
        <x:f t="shared" si="8"/>
        <x:v>0</x:v>
      </x:c>
      <x:c r="Q166" s="28" t="n">
        <x:f t="shared" si="9">(P166+H166)*A166</x:f>
        <x:v>0</x:v>
      </x:c>
      <x:c r="R166" s="28" t="str">
        <x:f t="shared" si="25"/>
      </x:c>
      <x:c r="S166" s="28" t="n">
        <x:f t="shared" si="11"/>
        <x:v>0</x:v>
      </x:c>
      <x:c r="T166" s="28" t="n">
        <x:f t="shared" si="12">(S166+H166)*A166</x:f>
        <x:v>0</x:v>
      </x:c>
      <x:c r="U166" s="28" t="str">
        <x:f t="shared" si="26"/>
      </x:c>
      <x:c r="V166" s="28" t="n">
        <x:f t="shared" si="14"/>
        <x:v>0</x:v>
      </x:c>
      <x:c r="W166" s="28" t="n">
        <x:f t="shared" si="15">(V166+H166)*A166</x:f>
        <x:v>0</x:v>
      </x:c>
      <x:c r="X166" s="28"/>
      <x:c r="Y166" s="28" t="n">
        <x:f t="shared" si="16"/>
        <x:v>0</x:v>
      </x:c>
      <x:c r="Z166" s="28" t="n">
        <x:f t="shared" si="17">(Y166+H166)*A166</x:f>
        <x:v>0</x:v>
      </x:c>
      <x:c r="AA166" s="28"/>
      <x:c r="AB166" s="28" t="n">
        <x:f t="shared" si="18"/>
        <x:v>0</x:v>
      </x:c>
      <x:c r="AC166" s="28" t="n">
        <x:f t="shared" si="19">(AB166+H166)*A166</x:f>
        <x:v>0</x:v>
      </x:c>
      <x:c r="AD166" s="28"/>
      <x:c r="AE166" s="28" t="n">
        <x:f t="shared" si="20"/>
        <x:v>0</x:v>
      </x:c>
      <x:c r="AF166" s="29" t="n">
        <x:f t="shared" si="21">(AE166+H166)*A166</x:f>
        <x:v>0</x:v>
      </x:c>
    </x:row>
    <x:row r="167" ht="15.75" customHeight="1">
      <x:c r="A167" s="26"/>
      <x:c r="B167" s="27" t="s">
        <x:v>332</x:v>
      </x:c>
      <x:c r="C167" s="27" t="s">
        <x:v>333</x:v>
      </x:c>
      <x:c r="D167" s="28" t="n">
        <x:v>288.84</x:v>
      </x:c>
      <x:c r="E167" s="28" t="n">
        <x:f t="shared" si="1"/>
        <x:v>86.65</x:v>
      </x:c>
      <x:c r="F167" s="28" t="n">
        <x:f t="shared" si="2">E167*A167</x:f>
        <x:v>0</x:v>
      </x:c>
      <x:c r="G167" s="28"/>
      <x:c r="H167" s="28" t="n">
        <x:f t="shared" si="3"/>
        <x:v>0</x:v>
      </x:c>
      <x:c r="I167" s="28"/>
      <x:c r="J167" s="28" t="n">
        <x:f t="shared" si="4"/>
        <x:v>0</x:v>
      </x:c>
      <x:c r="K167" s="28" t="n">
        <x:f t="shared" si="5">(J167+H167)*A167</x:f>
        <x:v>0</x:v>
      </x:c>
      <x:c r="L167" s="28"/>
      <x:c r="M167" s="28" t="n">
        <x:f t="shared" si="6"/>
        <x:v>0</x:v>
      </x:c>
      <x:c r="N167" s="28" t="n">
        <x:f t="shared" si="7">(M167+H167)*A167</x:f>
        <x:v>0</x:v>
      </x:c>
      <x:c r="O167" s="28"/>
      <x:c r="P167" s="28" t="n">
        <x:f t="shared" si="8"/>
        <x:v>0</x:v>
      </x:c>
      <x:c r="Q167" s="28" t="n">
        <x:f t="shared" si="9">(P167+H167)*A167</x:f>
        <x:v>0</x:v>
      </x:c>
      <x:c r="R167" s="28" t="str">
        <x:f t="shared" si="25"/>
      </x:c>
      <x:c r="S167" s="28" t="n">
        <x:f t="shared" si="11"/>
        <x:v>0</x:v>
      </x:c>
      <x:c r="T167" s="28" t="n">
        <x:f t="shared" si="12">(S167+H167)*A167</x:f>
        <x:v>0</x:v>
      </x:c>
      <x:c r="U167" s="28" t="str">
        <x:f t="shared" si="26"/>
      </x:c>
      <x:c r="V167" s="28" t="n">
        <x:f t="shared" si="14"/>
        <x:v>0</x:v>
      </x:c>
      <x:c r="W167" s="28" t="n">
        <x:f t="shared" si="15">(V167+H167)*A167</x:f>
        <x:v>0</x:v>
      </x:c>
      <x:c r="X167" s="28"/>
      <x:c r="Y167" s="28" t="n">
        <x:f t="shared" si="16"/>
        <x:v>0</x:v>
      </x:c>
      <x:c r="Z167" s="28" t="n">
        <x:f t="shared" si="17">(Y167+H167)*A167</x:f>
        <x:v>0</x:v>
      </x:c>
      <x:c r="AA167" s="28"/>
      <x:c r="AB167" s="28" t="n">
        <x:f t="shared" si="18"/>
        <x:v>0</x:v>
      </x:c>
      <x:c r="AC167" s="28" t="n">
        <x:f t="shared" si="19">(AB167+H167)*A167</x:f>
        <x:v>0</x:v>
      </x:c>
      <x:c r="AD167" s="28"/>
      <x:c r="AE167" s="28" t="n">
        <x:f t="shared" si="20"/>
        <x:v>0</x:v>
      </x:c>
      <x:c r="AF167" s="29" t="n">
        <x:f t="shared" si="21">(AE167+H167)*A167</x:f>
        <x:v>0</x:v>
      </x:c>
    </x:row>
    <x:row r="168" ht="15.75" customHeight="1">
      <x:c r="A168" s="26"/>
      <x:c r="B168" s="36"/>
      <x:c r="C168" s="36"/>
      <x:c r="D168" s="36"/>
      <x:c r="E168" s="36"/>
      <x:c r="F168" s="34" t="n">
        <x:f t="shared" si="2">E168*A168</x:f>
        <x:v>0</x:v>
      </x:c>
      <x:c r="G168" s="36"/>
      <x:c r="H168" s="36"/>
      <x:c r="I168" s="36"/>
      <x:c r="J168" s="36"/>
      <x:c r="K168" s="34" t="n">
        <x:f t="shared" si="5">(J168+H168)*A168</x:f>
        <x:v>0</x:v>
      </x:c>
      <x:c r="L168" s="36"/>
      <x:c r="M168" s="34" t="n">
        <x:f t="shared" si="6"/>
        <x:v>0</x:v>
      </x:c>
      <x:c r="N168" s="34" t="n">
        <x:f t="shared" si="7">(M168+H168)*A168</x:f>
        <x:v>0</x:v>
      </x:c>
      <x:c r="O168" s="36"/>
      <x:c r="P168" s="36"/>
      <x:c r="Q168" s="34" t="n">
        <x:f t="shared" si="9">(P168+H168)*A168</x:f>
        <x:v>0</x:v>
      </x:c>
      <x:c r="R168" s="36"/>
      <x:c r="S168" s="36"/>
      <x:c r="T168" s="34" t="n">
        <x:f t="shared" si="12">(S168+H168)*A168</x:f>
        <x:v>0</x:v>
      </x:c>
      <x:c r="U168" s="36"/>
      <x:c r="V168" s="36"/>
      <x:c r="W168" s="34" t="n">
        <x:f t="shared" si="15">(V168+H168)*A168</x:f>
        <x:v>0</x:v>
      </x:c>
      <x:c r="X168" s="36"/>
      <x:c r="Y168" s="36"/>
      <x:c r="Z168" s="34" t="n">
        <x:f t="shared" si="17">(Y168+H168)*A168</x:f>
        <x:v>0</x:v>
      </x:c>
      <x:c r="AA168" s="34"/>
      <x:c r="AB168" s="34"/>
      <x:c r="AC168" s="34" t="n">
        <x:f t="shared" si="19">(AB168+H168)*A168</x:f>
        <x:v>0</x:v>
      </x:c>
      <x:c r="AD168" s="34"/>
      <x:c r="AE168" s="34"/>
      <x:c r="AF168" s="35" t="n">
        <x:f t="shared" si="21">(AE168+H168)*A168</x:f>
        <x:v>0</x:v>
      </x:c>
    </x:row>
    <x:row r="169" ht="15.75" customHeight="1">
      <x:c r="A169" s="26"/>
      <x:c r="B169" s="27" t="s">
        <x:v>334</x:v>
      </x:c>
      <x:c r="C169" s="27" t="s">
        <x:v>335</x:v>
      </x:c>
      <x:c r="D169" s="28" t="n">
        <x:v>47.19</x:v>
      </x:c>
      <x:c r="E169" s="28" t="n">
        <x:f t="shared" ref="E169:E207" si="27">D169*0.3</x:f>
        <x:v>14.156999999999998</x:v>
      </x:c>
      <x:c r="F169" s="28" t="n">
        <x:f t="shared" si="2">E169*A169</x:f>
        <x:v>0</x:v>
      </x:c>
      <x:c r="G169" s="28"/>
      <x:c r="H169" s="28"/>
      <x:c r="I169" s="28" t="n">
        <x:v>47.19</x:v>
      </x:c>
      <x:c r="J169" s="28" t="n">
        <x:f t="shared" ref="J169:J199" si="28">I169*0.3</x:f>
        <x:v>14.156999999999998</x:v>
      </x:c>
      <x:c r="K169" s="28" t="n">
        <x:f t="shared" si="5">(J169+H169)*A169</x:f>
        <x:v>0</x:v>
      </x:c>
      <x:c r="L169" s="28" t="n">
        <x:v>47.19</x:v>
      </x:c>
      <x:c r="M169" s="28" t="n">
        <x:f t="shared" si="6"/>
        <x:v>12.27</x:v>
      </x:c>
      <x:c r="N169" s="28" t="n">
        <x:f t="shared" si="7">(M169+H169)*A169</x:f>
        <x:v>0</x:v>
      </x:c>
      <x:c r="O169" s="28"/>
      <x:c r="P169" s="28" t="n">
        <x:f t="shared" ref="P169:P199" si="29">O169*0.3</x:f>
        <x:v>0</x:v>
      </x:c>
      <x:c r="Q169" s="28" t="n">
        <x:f t="shared" si="9">(P169+H169)*A169</x:f>
        <x:v>0</x:v>
      </x:c>
      <x:c r="R169" s="28" t="n">
        <x:v>47.19</x:v>
      </x:c>
      <x:c r="S169" s="28" t="n">
        <x:f t="shared" ref="S169:S199" si="30">R169*0.3</x:f>
        <x:v>14.156999999999998</x:v>
      </x:c>
      <x:c r="T169" s="28" t="n">
        <x:f t="shared" si="12">(S169+H169)*A169</x:f>
        <x:v>0</x:v>
      </x:c>
      <x:c r="U169" s="28" t="n">
        <x:v>47.19</x:v>
      </x:c>
      <x:c r="V169" s="28" t="n">
        <x:f t="shared" ref="V169:V199" si="31">U169*0.3</x:f>
        <x:v>14.156999999999998</x:v>
      </x:c>
      <x:c r="W169" s="28" t="n">
        <x:f t="shared" si="15">(V169+H169)*A169</x:f>
        <x:v>0</x:v>
      </x:c>
      <x:c r="X169" s="28" t="n">
        <x:v>112.62</x:v>
      </x:c>
      <x:c r="Y169" s="28" t="n">
        <x:f t="shared" ref="Y169:Y199" si="32">X169*0.3</x:f>
        <x:v>33.786</x:v>
      </x:c>
      <x:c r="Z169" s="28" t="n">
        <x:f t="shared" si="17">(Y169+H169)*A169</x:f>
        <x:v>0</x:v>
      </x:c>
      <x:c r="AA169" s="28"/>
      <x:c r="AB169" s="28" t="n">
        <x:f t="shared" ref="AB169:AB199" si="33">AA169*0.3</x:f>
        <x:v>0</x:v>
      </x:c>
      <x:c r="AC169" s="28" t="n">
        <x:f t="shared" si="19">(AB169+H169)*A169</x:f>
        <x:v>0</x:v>
      </x:c>
      <x:c r="AD169" s="28"/>
      <x:c r="AE169" s="28" t="n">
        <x:f t="shared" ref="AE169:AE207" si="34">AD169*0.3</x:f>
        <x:v>0</x:v>
      </x:c>
      <x:c r="AF169" s="29" t="n">
        <x:f t="shared" si="21">(AE169+H169)*A169</x:f>
        <x:v>0</x:v>
      </x:c>
    </x:row>
    <x:row r="170" ht="15.75" customHeight="1">
      <x:c r="A170" s="26"/>
      <x:c r="B170" s="27" t="s">
        <x:v>336</x:v>
      </x:c>
      <x:c r="C170" s="27" t="s">
        <x:v>337</x:v>
      </x:c>
      <x:c r="D170" s="28" t="n">
        <x:v>42.33</x:v>
      </x:c>
      <x:c r="E170" s="28" t="n">
        <x:f t="shared" si="27"/>
        <x:v>12.7</x:v>
      </x:c>
      <x:c r="F170" s="28" t="n">
        <x:f t="shared" si="2">E170*A170</x:f>
        <x:v>0</x:v>
      </x:c>
      <x:c r="G170" s="28"/>
      <x:c r="H170" s="28"/>
      <x:c r="I170" s="28" t="n">
        <x:f t="shared" ref="I170:I171" si="35">D170</x:f>
        <x:v>42.33</x:v>
      </x:c>
      <x:c r="J170" s="28" t="n">
        <x:f t="shared" si="28"/>
        <x:v>12.7</x:v>
      </x:c>
      <x:c r="K170" s="28" t="n">
        <x:f t="shared" si="5">(J170+H170)*A170</x:f>
        <x:v>0</x:v>
      </x:c>
      <x:c r="L170" s="28" t="n">
        <x:f t="shared" ref="L170:L178" si="36">D170</x:f>
        <x:v>42.33</x:v>
      </x:c>
      <x:c r="M170" s="28" t="n">
        <x:f t="shared" si="6"/>
        <x:v>11.01</x:v>
      </x:c>
      <x:c r="N170" s="28" t="n">
        <x:f t="shared" si="7">(M170+H170)*A170</x:f>
        <x:v>0</x:v>
      </x:c>
      <x:c r="O170" s="28" t="n">
        <x:f t="shared" ref="O170:O199" si="37">L170</x:f>
        <x:v>42.33</x:v>
      </x:c>
      <x:c r="P170" s="28" t="n">
        <x:f t="shared" si="29"/>
        <x:v>12.7</x:v>
      </x:c>
      <x:c r="Q170" s="28" t="n">
        <x:f t="shared" si="9">(P170+H170)*A170</x:f>
        <x:v>0</x:v>
      </x:c>
      <x:c r="R170" s="28" t="n">
        <x:f>I170</x:f>
        <x:v>42.33</x:v>
      </x:c>
      <x:c r="S170" s="28" t="n">
        <x:f t="shared" si="30"/>
        <x:v>12.7</x:v>
      </x:c>
      <x:c r="T170" s="28" t="n">
        <x:f t="shared" si="12">(S170+H170)*A170</x:f>
        <x:v>0</x:v>
      </x:c>
      <x:c r="U170" s="28" t="n">
        <x:f>L170</x:f>
        <x:v>42.33</x:v>
      </x:c>
      <x:c r="V170" s="28" t="n">
        <x:f t="shared" si="31"/>
        <x:v>12.7</x:v>
      </x:c>
      <x:c r="W170" s="28" t="n">
        <x:f t="shared" si="15">(V170+H170)*A170</x:f>
        <x:v>0</x:v>
      </x:c>
      <x:c r="X170" s="28" t="n">
        <x:v>61.98</x:v>
      </x:c>
      <x:c r="Y170" s="28" t="n">
        <x:f t="shared" si="32"/>
        <x:v>18.6</x:v>
      </x:c>
      <x:c r="Z170" s="28" t="n">
        <x:f t="shared" si="17">(Y170+H170)*A170</x:f>
        <x:v>0</x:v>
      </x:c>
      <x:c r="AA170" s="28" t="n">
        <x:v>42.81</x:v>
      </x:c>
      <x:c r="AB170" s="28" t="n">
        <x:f t="shared" si="33"/>
        <x:v>12.84</x:v>
      </x:c>
      <x:c r="AC170" s="28" t="n">
        <x:f t="shared" si="19">(AB170+H170)*A170</x:f>
        <x:v>0</x:v>
      </x:c>
      <x:c r="AD170" s="28" t="n">
        <x:v>54.43</x:v>
      </x:c>
      <x:c r="AE170" s="28" t="n">
        <x:f t="shared" si="34"/>
        <x:v>16.33</x:v>
      </x:c>
      <x:c r="AF170" s="29" t="n">
        <x:f t="shared" si="21">(AE170+H170)*A170</x:f>
        <x:v>0</x:v>
      </x:c>
    </x:row>
    <x:row r="171" ht="15.75" customHeight="1">
      <x:c r="A171" s="26"/>
      <x:c r="B171" s="27" t="s">
        <x:v>338</x:v>
      </x:c>
      <x:c r="C171" s="27" t="s">
        <x:v>339</x:v>
      </x:c>
      <x:c r="D171" s="28" t="n">
        <x:v>58.36</x:v>
      </x:c>
      <x:c r="E171" s="28" t="n">
        <x:f t="shared" si="27"/>
        <x:v>17.51</x:v>
      </x:c>
      <x:c r="F171" s="28" t="n">
        <x:f t="shared" si="2">E171*A171</x:f>
        <x:v>0</x:v>
      </x:c>
      <x:c r="G171" s="28"/>
      <x:c r="H171" s="28"/>
      <x:c r="I171" s="28" t="n">
        <x:f t="shared" si="35"/>
        <x:v>58.36</x:v>
      </x:c>
      <x:c r="J171" s="28" t="n">
        <x:f t="shared" si="28"/>
        <x:v>17.51</x:v>
      </x:c>
      <x:c r="K171" s="28" t="n">
        <x:f t="shared" si="5">(J171+H171)*A171</x:f>
        <x:v>0</x:v>
      </x:c>
      <x:c r="L171" s="28" t="n">
        <x:f t="shared" si="36"/>
        <x:v>58.36</x:v>
      </x:c>
      <x:c r="M171" s="28" t="n">
        <x:f t="shared" si="6"/>
        <x:v>15.17</x:v>
      </x:c>
      <x:c r="N171" s="28" t="n">
        <x:f t="shared" si="7">(M171+H171)*A171</x:f>
        <x:v>0</x:v>
      </x:c>
      <x:c r="O171" s="28" t="n">
        <x:f t="shared" si="37"/>
        <x:v>58.36</x:v>
      </x:c>
      <x:c r="P171" s="28" t="n">
        <x:f t="shared" si="29"/>
        <x:v>17.51</x:v>
      </x:c>
      <x:c r="Q171" s="28" t="n">
        <x:f t="shared" si="9">(P171+H171)*A171</x:f>
        <x:v>0</x:v>
      </x:c>
      <x:c r="R171" s="28" t="n">
        <x:v>58.36</x:v>
      </x:c>
      <x:c r="S171" s="28" t="n">
        <x:f t="shared" si="30"/>
        <x:v>17.51</x:v>
      </x:c>
      <x:c r="T171" s="28" t="n">
        <x:f t="shared" si="12">(S171+H171)*A171</x:f>
        <x:v>0</x:v>
      </x:c>
      <x:c r="U171" s="28" t="n">
        <x:v>58.36</x:v>
      </x:c>
      <x:c r="V171" s="28" t="n">
        <x:f t="shared" si="31"/>
        <x:v>17.51</x:v>
      </x:c>
      <x:c r="W171" s="28" t="n">
        <x:f t="shared" si="15">(V171+H171)*A171</x:f>
        <x:v>0</x:v>
      </x:c>
      <x:c r="X171" s="28" t="n">
        <x:v>123.97</x:v>
      </x:c>
      <x:c r="Y171" s="28" t="n">
        <x:f t="shared" si="32"/>
        <x:v>37.19</x:v>
      </x:c>
      <x:c r="Z171" s="28" t="n">
        <x:f t="shared" si="17">(Y171+H171)*A171</x:f>
        <x:v>0</x:v>
      </x:c>
      <x:c r="AA171" s="28" t="n">
        <x:v>58.36</x:v>
      </x:c>
      <x:c r="AB171" s="28" t="n">
        <x:f t="shared" si="33"/>
        <x:v>17.51</x:v>
      </x:c>
      <x:c r="AC171" s="28" t="n">
        <x:f t="shared" si="19">(AB171+H171)*A171</x:f>
        <x:v>0</x:v>
      </x:c>
      <x:c r="AD171" s="28" t="n">
        <x:v>109.96</x:v>
      </x:c>
      <x:c r="AE171" s="28" t="n">
        <x:f t="shared" si="34"/>
        <x:v>32.99</x:v>
      </x:c>
      <x:c r="AF171" s="29" t="n">
        <x:f t="shared" si="21">(AE171+H171)*A171</x:f>
        <x:v>0</x:v>
      </x:c>
    </x:row>
    <x:row r="172" ht="15.75" customHeight="1">
      <x:c r="A172" s="26"/>
      <x:c r="B172" s="27" t="s">
        <x:v>340</x:v>
      </x:c>
      <x:c r="C172" s="27" t="s">
        <x:v>341</x:v>
      </x:c>
      <x:c r="D172" s="28" t="n">
        <x:v>30.3</x:v>
      </x:c>
      <x:c r="E172" s="28" t="n">
        <x:f t="shared" si="27"/>
        <x:v>9.09</x:v>
      </x:c>
      <x:c r="F172" s="28" t="n">
        <x:f t="shared" si="2">E172*A172</x:f>
        <x:v>0</x:v>
      </x:c>
      <x:c r="G172" s="28"/>
      <x:c r="H172" s="28"/>
      <x:c r="I172" s="28" t="n">
        <x:v>34.68</x:v>
      </x:c>
      <x:c r="J172" s="28" t="n">
        <x:f t="shared" si="28"/>
        <x:v>10.4</x:v>
      </x:c>
      <x:c r="K172" s="28" t="n">
        <x:f t="shared" si="5">(J172+H172)*A172</x:f>
        <x:v>0</x:v>
      </x:c>
      <x:c r="L172" s="28" t="n">
        <x:f t="shared" si="36"/>
        <x:v>30.3</x:v>
      </x:c>
      <x:c r="M172" s="28" t="n">
        <x:f t="shared" si="6"/>
        <x:v>7.88</x:v>
      </x:c>
      <x:c r="N172" s="28" t="n">
        <x:f t="shared" si="7">(M172+H172)*A172</x:f>
        <x:v>0</x:v>
      </x:c>
      <x:c r="O172" s="28" t="n">
        <x:f t="shared" si="37"/>
        <x:v>30.3</x:v>
      </x:c>
      <x:c r="P172" s="28" t="n">
        <x:f t="shared" si="29"/>
        <x:v>9.09</x:v>
      </x:c>
      <x:c r="Q172" s="28" t="n">
        <x:f t="shared" si="9">(P172+H172)*A172</x:f>
        <x:v>0</x:v>
      </x:c>
      <x:c r="R172" s="28" t="n">
        <x:f t="shared" ref="R172:R199" si="38">L172</x:f>
        <x:v>30.3</x:v>
      </x:c>
      <x:c r="S172" s="28" t="n">
        <x:f t="shared" si="30"/>
        <x:v>9.09</x:v>
      </x:c>
      <x:c r="T172" s="28" t="n">
        <x:f t="shared" si="12">(S172+H172)*A172</x:f>
        <x:v>0</x:v>
      </x:c>
      <x:c r="U172" s="28" t="n">
        <x:f t="shared" ref="U172:U180" si="39">I172</x:f>
        <x:v>34.68</x:v>
      </x:c>
      <x:c r="V172" s="28" t="n">
        <x:f t="shared" si="31"/>
        <x:v>10.4</x:v>
      </x:c>
      <x:c r="W172" s="28" t="n">
        <x:f t="shared" si="15">(V172+H172)*A172</x:f>
        <x:v>0</x:v>
      </x:c>
      <x:c r="X172" s="28" t="n">
        <x:v>0</x:v>
      </x:c>
      <x:c r="Y172" s="28" t="n">
        <x:f t="shared" si="32"/>
        <x:v>0</x:v>
      </x:c>
      <x:c r="Z172" s="28" t="n">
        <x:f t="shared" si="17">(Y172+H172)*A172</x:f>
        <x:v>0</x:v>
      </x:c>
      <x:c r="AA172" s="28" t="n">
        <x:v>32.67</x:v>
      </x:c>
      <x:c r="AB172" s="28" t="n">
        <x:f t="shared" si="33"/>
        <x:v>9.8</x:v>
      </x:c>
      <x:c r="AC172" s="28" t="n">
        <x:f t="shared" si="19">(AB172+H172)*A172</x:f>
        <x:v>0</x:v>
      </x:c>
      <x:c r="AD172" s="28" t="n">
        <x:v>45.34</x:v>
      </x:c>
      <x:c r="AE172" s="28" t="n">
        <x:f t="shared" si="34"/>
        <x:v>13.6</x:v>
      </x:c>
      <x:c r="AF172" s="29" t="n">
        <x:f t="shared" si="21">(AE172+H172)*A172</x:f>
        <x:v>0</x:v>
      </x:c>
    </x:row>
    <x:row r="173" ht="15.75" customHeight="1">
      <x:c r="A173" s="26"/>
      <x:c r="B173" s="27" t="s">
        <x:v>342</x:v>
      </x:c>
      <x:c r="C173" s="27" t="s">
        <x:v>343</x:v>
      </x:c>
      <x:c r="D173" s="28" t="n">
        <x:v>42.64</x:v>
      </x:c>
      <x:c r="E173" s="28" t="n">
        <x:f t="shared" si="27"/>
        <x:v>12.79</x:v>
      </x:c>
      <x:c r="F173" s="28" t="n">
        <x:f t="shared" si="2">E173*A173</x:f>
        <x:v>0</x:v>
      </x:c>
      <x:c r="G173" s="28"/>
      <x:c r="H173" s="28"/>
      <x:c r="I173" s="28" t="n">
        <x:v>44.68</x:v>
      </x:c>
      <x:c r="J173" s="28" t="n">
        <x:f t="shared" si="28"/>
        <x:v>13.4</x:v>
      </x:c>
      <x:c r="K173" s="28" t="n">
        <x:f t="shared" si="5">(J173+H173)*A173</x:f>
        <x:v>0</x:v>
      </x:c>
      <x:c r="L173" s="28" t="n">
        <x:f t="shared" si="36"/>
        <x:v>42.64</x:v>
      </x:c>
      <x:c r="M173" s="28" t="n">
        <x:f t="shared" si="6"/>
        <x:v>11.09</x:v>
      </x:c>
      <x:c r="N173" s="28" t="n">
        <x:f t="shared" si="7">(M173+H173)*A173</x:f>
        <x:v>0</x:v>
      </x:c>
      <x:c r="O173" s="28" t="n">
        <x:f t="shared" si="37"/>
        <x:v>42.64</x:v>
      </x:c>
      <x:c r="P173" s="28" t="n">
        <x:f t="shared" si="29"/>
        <x:v>12.79</x:v>
      </x:c>
      <x:c r="Q173" s="28" t="n">
        <x:f t="shared" si="9">(P173+H173)*A173</x:f>
        <x:v>0</x:v>
      </x:c>
      <x:c r="R173" s="28" t="n">
        <x:f t="shared" si="38"/>
        <x:v>42.64</x:v>
      </x:c>
      <x:c r="S173" s="28" t="n">
        <x:f t="shared" si="30"/>
        <x:v>12.79</x:v>
      </x:c>
      <x:c r="T173" s="28" t="n">
        <x:f t="shared" si="12">(S173+H173)*A173</x:f>
        <x:v>0</x:v>
      </x:c>
      <x:c r="U173" s="28" t="n">
        <x:f t="shared" si="39"/>
        <x:v>44.68</x:v>
      </x:c>
      <x:c r="V173" s="28" t="n">
        <x:f t="shared" si="31"/>
        <x:v>13.4</x:v>
      </x:c>
      <x:c r="W173" s="28" t="n">
        <x:f t="shared" si="15">(V173+H173)*A173</x:f>
        <x:v>0</x:v>
      </x:c>
      <x:c r="X173" s="28" t="n">
        <x:v>53.2</x:v>
      </x:c>
      <x:c r="Y173" s="28" t="n">
        <x:f t="shared" si="32"/>
        <x:v>15.96</x:v>
      </x:c>
      <x:c r="Z173" s="28" t="n">
        <x:f t="shared" si="17">(Y173+H173)*A173</x:f>
        <x:v>0</x:v>
      </x:c>
      <x:c r="AA173" s="28" t="n">
        <x:v>42.19</x:v>
      </x:c>
      <x:c r="AB173" s="28" t="n">
        <x:f t="shared" si="33"/>
        <x:v>12.66</x:v>
      </x:c>
      <x:c r="AC173" s="28" t="n">
        <x:f t="shared" si="19">(AB173+H173)*A173</x:f>
        <x:v>0</x:v>
      </x:c>
      <x:c r="AD173" s="28" t="n">
        <x:v>53.59</x:v>
      </x:c>
      <x:c r="AE173" s="28" t="n">
        <x:f t="shared" si="34"/>
        <x:v>16.08</x:v>
      </x:c>
      <x:c r="AF173" s="29" t="n">
        <x:f t="shared" si="21">(AE173+H173)*A173</x:f>
        <x:v>0</x:v>
      </x:c>
    </x:row>
    <x:row r="174" ht="15.75" customHeight="1">
      <x:c r="A174" s="26"/>
      <x:c r="B174" s="27" t="s">
        <x:v>344</x:v>
      </x:c>
      <x:c r="C174" s="27" t="s">
        <x:v>345</x:v>
      </x:c>
      <x:c r="D174" s="28" t="n">
        <x:v>49.22</x:v>
      </x:c>
      <x:c r="E174" s="28" t="n">
        <x:f t="shared" si="27"/>
        <x:v>14.77</x:v>
      </x:c>
      <x:c r="F174" s="28" t="n">
        <x:f t="shared" si="2">E174*A174</x:f>
        <x:v>0</x:v>
      </x:c>
      <x:c r="G174" s="28"/>
      <x:c r="H174" s="28"/>
      <x:c r="I174" s="28" t="n">
        <x:v>53.34</x:v>
      </x:c>
      <x:c r="J174" s="28" t="n">
        <x:f t="shared" si="28"/>
        <x:v>16</x:v>
      </x:c>
      <x:c r="K174" s="28" t="n">
        <x:f t="shared" si="5">(J174+H174)*A174</x:f>
        <x:v>0</x:v>
      </x:c>
      <x:c r="L174" s="28" t="n">
        <x:f t="shared" si="36"/>
        <x:v>49.22</x:v>
      </x:c>
      <x:c r="M174" s="28" t="n">
        <x:f t="shared" si="6"/>
        <x:v>12.8</x:v>
      </x:c>
      <x:c r="N174" s="28" t="n">
        <x:f t="shared" si="7">(M174+H174)*A174</x:f>
        <x:v>0</x:v>
      </x:c>
      <x:c r="O174" s="28" t="n">
        <x:f t="shared" si="37"/>
        <x:v>49.22</x:v>
      </x:c>
      <x:c r="P174" s="28" t="n">
        <x:f t="shared" si="29"/>
        <x:v>14.77</x:v>
      </x:c>
      <x:c r="Q174" s="28" t="n">
        <x:f t="shared" si="9">(P174+H174)*A174</x:f>
        <x:v>0</x:v>
      </x:c>
      <x:c r="R174" s="28" t="n">
        <x:f t="shared" si="38"/>
        <x:v>49.22</x:v>
      </x:c>
      <x:c r="S174" s="28" t="n">
        <x:f t="shared" si="30"/>
        <x:v>14.77</x:v>
      </x:c>
      <x:c r="T174" s="28" t="n">
        <x:f t="shared" si="12">(S174+H174)*A174</x:f>
        <x:v>0</x:v>
      </x:c>
      <x:c r="U174" s="28" t="n">
        <x:f t="shared" si="39"/>
        <x:v>53.34</x:v>
      </x:c>
      <x:c r="V174" s="28" t="n">
        <x:f t="shared" si="31"/>
        <x:v>16</x:v>
      </x:c>
      <x:c r="W174" s="28" t="n">
        <x:f t="shared" si="15">(V174+H174)*A174</x:f>
        <x:v>0</x:v>
      </x:c>
      <x:c r="X174" s="28" t="n">
        <x:v>62.1</x:v>
      </x:c>
      <x:c r="Y174" s="28" t="n">
        <x:f t="shared" si="32"/>
        <x:v>18.63</x:v>
      </x:c>
      <x:c r="Z174" s="28" t="n">
        <x:f t="shared" si="17">(Y174+H174)*A174</x:f>
        <x:v>0</x:v>
      </x:c>
      <x:c r="AA174" s="28" t="n">
        <x:v>50.31</x:v>
      </x:c>
      <x:c r="AB174" s="28" t="n">
        <x:f t="shared" si="33"/>
        <x:v>15.09</x:v>
      </x:c>
      <x:c r="AC174" s="28" t="n">
        <x:f t="shared" si="19">(AB174+H174)*A174</x:f>
        <x:v>0</x:v>
      </x:c>
      <x:c r="AD174" s="28" t="n">
        <x:v>54.92</x:v>
      </x:c>
      <x:c r="AE174" s="28" t="n">
        <x:f t="shared" si="34"/>
        <x:v>16.48</x:v>
      </x:c>
      <x:c r="AF174" s="29" t="n">
        <x:f t="shared" si="21">(AE174+H174)*A174</x:f>
        <x:v>0</x:v>
      </x:c>
    </x:row>
    <x:row r="175" ht="15.75" customHeight="1">
      <x:c r="A175" s="26"/>
      <x:c r="B175" s="27" t="s">
        <x:v>346</x:v>
      </x:c>
      <x:c r="C175" s="27" t="s">
        <x:v>347</x:v>
      </x:c>
      <x:c r="D175" s="28" t="n">
        <x:v>125.83</x:v>
      </x:c>
      <x:c r="E175" s="28" t="n">
        <x:f t="shared" si="27"/>
        <x:v>37.75</x:v>
      </x:c>
      <x:c r="F175" s="28" t="n">
        <x:f t="shared" si="2">E175*A175</x:f>
        <x:v>0</x:v>
      </x:c>
      <x:c r="G175" s="28"/>
      <x:c r="H175" s="28"/>
      <x:c r="I175" s="28" t="n">
        <x:v>132.03</x:v>
      </x:c>
      <x:c r="J175" s="28" t="n">
        <x:f t="shared" si="28"/>
        <x:v>39.61</x:v>
      </x:c>
      <x:c r="K175" s="28" t="n">
        <x:f t="shared" si="5">(J175+H175)*A175</x:f>
        <x:v>0</x:v>
      </x:c>
      <x:c r="L175" s="28" t="n">
        <x:f t="shared" si="36"/>
        <x:v>125.83</x:v>
      </x:c>
      <x:c r="M175" s="28" t="n">
        <x:f t="shared" si="6"/>
        <x:v>32.71</x:v>
      </x:c>
      <x:c r="N175" s="28" t="n">
        <x:f t="shared" si="7">(M175+H175)*A175</x:f>
        <x:v>0</x:v>
      </x:c>
      <x:c r="O175" s="28" t="n">
        <x:f t="shared" si="37"/>
        <x:v>125.83</x:v>
      </x:c>
      <x:c r="P175" s="28" t="n">
        <x:f t="shared" si="29"/>
        <x:v>37.75</x:v>
      </x:c>
      <x:c r="Q175" s="28" t="n">
        <x:f t="shared" si="9">(P175+H175)*A175</x:f>
        <x:v>0</x:v>
      </x:c>
      <x:c r="R175" s="28" t="n">
        <x:f t="shared" si="38"/>
        <x:v>125.83</x:v>
      </x:c>
      <x:c r="S175" s="28" t="n">
        <x:f t="shared" si="30"/>
        <x:v>37.75</x:v>
      </x:c>
      <x:c r="T175" s="28" t="n">
        <x:f t="shared" si="12">(S175+H175)*A175</x:f>
        <x:v>0</x:v>
      </x:c>
      <x:c r="U175" s="28" t="n">
        <x:f t="shared" si="39"/>
        <x:v>132.03</x:v>
      </x:c>
      <x:c r="V175" s="28" t="n">
        <x:f t="shared" si="31"/>
        <x:v>39.61</x:v>
      </x:c>
      <x:c r="W175" s="28" t="n">
        <x:f t="shared" si="15">(V175+H175)*A175</x:f>
        <x:v>0</x:v>
      </x:c>
      <x:c r="X175" s="28" t="n">
        <x:v>143.35</x:v>
      </x:c>
      <x:c r="Y175" s="28" t="n">
        <x:f t="shared" si="32"/>
        <x:v>43</x:v>
      </x:c>
      <x:c r="Z175" s="28" t="n">
        <x:f t="shared" si="17">(Y175+H175)*A175</x:f>
        <x:v>0</x:v>
      </x:c>
      <x:c r="AA175" s="28" t="n">
        <x:v>124.51</x:v>
      </x:c>
      <x:c r="AB175" s="28" t="n">
        <x:f t="shared" si="33"/>
        <x:v>37.35</x:v>
      </x:c>
      <x:c r="AC175" s="28" t="n">
        <x:f t="shared" si="19">(AB175+H175)*A175</x:f>
        <x:v>0</x:v>
      </x:c>
      <x:c r="AD175" s="28" t="n">
        <x:v>135.67</x:v>
      </x:c>
      <x:c r="AE175" s="28" t="n">
        <x:f t="shared" si="34"/>
        <x:v>40.7</x:v>
      </x:c>
      <x:c r="AF175" s="29" t="n">
        <x:f t="shared" si="21">(AE175+H175)*A175</x:f>
        <x:v>0</x:v>
      </x:c>
    </x:row>
    <x:row r="176" ht="15.75" customHeight="1">
      <x:c r="A176" s="26"/>
      <x:c r="B176" s="27" t="s">
        <x:v>348</x:v>
      </x:c>
      <x:c r="C176" s="27" t="s">
        <x:v>349</x:v>
      </x:c>
      <x:c r="D176" s="28" t="n">
        <x:v>85.29</x:v>
      </x:c>
      <x:c r="E176" s="28" t="n">
        <x:f t="shared" si="27"/>
        <x:v>25.59</x:v>
      </x:c>
      <x:c r="F176" s="28" t="n">
        <x:f t="shared" si="2">E176*A176</x:f>
        <x:v>0</x:v>
      </x:c>
      <x:c r="G176" s="28"/>
      <x:c r="H176" s="28"/>
      <x:c r="I176" s="28" t="n">
        <x:v>88.64</x:v>
      </x:c>
      <x:c r="J176" s="28" t="n">
        <x:f t="shared" si="28"/>
        <x:v>26.59</x:v>
      </x:c>
      <x:c r="K176" s="28" t="n">
        <x:f t="shared" si="5">(J176+H176)*A176</x:f>
        <x:v>0</x:v>
      </x:c>
      <x:c r="L176" s="28" t="n">
        <x:f t="shared" si="36"/>
        <x:v>85.29</x:v>
      </x:c>
      <x:c r="M176" s="28" t="n">
        <x:f t="shared" si="6"/>
        <x:v>22.18</x:v>
      </x:c>
      <x:c r="N176" s="28" t="n">
        <x:f t="shared" si="7">(M176+H176)*A176</x:f>
        <x:v>0</x:v>
      </x:c>
      <x:c r="O176" s="28" t="n">
        <x:f t="shared" si="37"/>
        <x:v>85.29</x:v>
      </x:c>
      <x:c r="P176" s="28" t="n">
        <x:f t="shared" si="29"/>
        <x:v>25.59</x:v>
      </x:c>
      <x:c r="Q176" s="28" t="n">
        <x:f t="shared" si="9">(P176+H176)*A176</x:f>
        <x:v>0</x:v>
      </x:c>
      <x:c r="R176" s="28" t="n">
        <x:f t="shared" si="38"/>
        <x:v>85.29</x:v>
      </x:c>
      <x:c r="S176" s="28" t="n">
        <x:f t="shared" si="30"/>
        <x:v>25.59</x:v>
      </x:c>
      <x:c r="T176" s="28" t="n">
        <x:f t="shared" si="12">(S176+H176)*A176</x:f>
        <x:v>0</x:v>
      </x:c>
      <x:c r="U176" s="28" t="n">
        <x:f t="shared" si="39"/>
        <x:v>88.64</x:v>
      </x:c>
      <x:c r="V176" s="28" t="n">
        <x:f t="shared" si="31"/>
        <x:v>26.59</x:v>
      </x:c>
      <x:c r="W176" s="28" t="n">
        <x:f t="shared" si="15">(V176+H176)*A176</x:f>
        <x:v>0</x:v>
      </x:c>
      <x:c r="X176" s="28" t="n">
        <x:f>L176*1.21</x:f>
        <x:v>103.2009</x:v>
      </x:c>
      <x:c r="Y176" s="28" t="n">
        <x:f t="shared" si="32"/>
        <x:v>30.96</x:v>
      </x:c>
      <x:c r="Z176" s="28" t="n">
        <x:f t="shared" si="17">(Y176+H176)*A176</x:f>
        <x:v>0</x:v>
      </x:c>
      <x:c r="AA176" s="28" t="n">
        <x:v>83.65</x:v>
      </x:c>
      <x:c r="AB176" s="28" t="n">
        <x:f t="shared" si="33"/>
        <x:v>25.09</x:v>
      </x:c>
      <x:c r="AC176" s="28" t="n">
        <x:f t="shared" si="19">(AB176+H176)*A176</x:f>
        <x:v>0</x:v>
      </x:c>
      <x:c r="AD176" s="28" t="n">
        <x:v>106.32</x:v>
      </x:c>
      <x:c r="AE176" s="28" t="n">
        <x:f t="shared" si="34"/>
        <x:v>31.9</x:v>
      </x:c>
      <x:c r="AF176" s="29" t="n">
        <x:f t="shared" si="21">(AE176+H176)*A176</x:f>
        <x:v>0</x:v>
      </x:c>
    </x:row>
    <x:row r="177" ht="15.75" customHeight="1">
      <x:c r="A177" s="26"/>
      <x:c r="B177" s="27" t="s">
        <x:v>350</x:v>
      </x:c>
      <x:c r="C177" s="27" t="s">
        <x:v>351</x:v>
      </x:c>
      <x:c r="D177" s="28" t="n">
        <x:v>98.44</x:v>
      </x:c>
      <x:c r="E177" s="28" t="n">
        <x:f t="shared" si="27"/>
        <x:v>29.53</x:v>
      </x:c>
      <x:c r="F177" s="28" t="n">
        <x:f t="shared" si="2">E177*A177</x:f>
        <x:v>0</x:v>
      </x:c>
      <x:c r="G177" s="28"/>
      <x:c r="H177" s="28"/>
      <x:c r="I177" s="28" t="n">
        <x:v>108.87</x:v>
      </x:c>
      <x:c r="J177" s="28" t="n">
        <x:f t="shared" si="28"/>
        <x:v>32.66</x:v>
      </x:c>
      <x:c r="K177" s="28" t="n">
        <x:f t="shared" si="5">(J177+H177)*A177</x:f>
        <x:v>0</x:v>
      </x:c>
      <x:c r="L177" s="28" t="n">
        <x:f t="shared" si="36"/>
        <x:v>98.44</x:v>
      </x:c>
      <x:c r="M177" s="28" t="n">
        <x:f t="shared" si="6"/>
        <x:v>25.59</x:v>
      </x:c>
      <x:c r="N177" s="28" t="n">
        <x:f t="shared" si="7">(M177+H177)*A177</x:f>
        <x:v>0</x:v>
      </x:c>
      <x:c r="O177" s="28" t="n">
        <x:f t="shared" si="37"/>
        <x:v>98.44</x:v>
      </x:c>
      <x:c r="P177" s="28" t="n">
        <x:f t="shared" si="29"/>
        <x:v>29.53</x:v>
      </x:c>
      <x:c r="Q177" s="28" t="n">
        <x:f t="shared" si="9">(P177+H177)*A177</x:f>
        <x:v>0</x:v>
      </x:c>
      <x:c r="R177" s="28" t="n">
        <x:f t="shared" si="38"/>
        <x:v>98.44</x:v>
      </x:c>
      <x:c r="S177" s="28" t="n">
        <x:f t="shared" si="30"/>
        <x:v>29.53</x:v>
      </x:c>
      <x:c r="T177" s="28" t="n">
        <x:f t="shared" si="12">(S177+H177)*A177</x:f>
        <x:v>0</x:v>
      </x:c>
      <x:c r="U177" s="28" t="n">
        <x:f t="shared" si="39"/>
        <x:v>108.87</x:v>
      </x:c>
      <x:c r="V177" s="28" t="n">
        <x:f t="shared" si="31"/>
        <x:v>32.66</x:v>
      </x:c>
      <x:c r="W177" s="28" t="n">
        <x:f t="shared" si="15">(V177+H177)*A177</x:f>
        <x:v>0</x:v>
      </x:c>
      <x:c r="X177" s="28" t="n">
        <x:v>124.19</x:v>
      </x:c>
      <x:c r="Y177" s="28" t="n">
        <x:f t="shared" si="32"/>
        <x:v>37.26</x:v>
      </x:c>
      <x:c r="Z177" s="28" t="n">
        <x:f t="shared" si="17">(Y177+H177)*A177</x:f>
        <x:v>0</x:v>
      </x:c>
      <x:c r="AA177" s="28" t="n">
        <x:v>102.68</x:v>
      </x:c>
      <x:c r="AB177" s="28" t="n">
        <x:f t="shared" si="33"/>
        <x:v>30.81</x:v>
      </x:c>
      <x:c r="AC177" s="28" t="n">
        <x:f t="shared" si="19">(AB177+H177)*A177</x:f>
        <x:v>0</x:v>
      </x:c>
      <x:c r="AD177" s="28" t="n">
        <x:v>112.02</x:v>
      </x:c>
      <x:c r="AE177" s="28" t="n">
        <x:f t="shared" si="34"/>
        <x:v>33.61</x:v>
      </x:c>
      <x:c r="AF177" s="29" t="n">
        <x:f t="shared" si="21">(AE177+H177)*A177</x:f>
        <x:v>0</x:v>
      </x:c>
    </x:row>
    <x:row r="178" ht="15.75" customHeight="1">
      <x:c r="A178" s="26"/>
      <x:c r="B178" s="27" t="s">
        <x:v>352</x:v>
      </x:c>
      <x:c r="C178" s="27" t="s">
        <x:v>353</x:v>
      </x:c>
      <x:c r="D178" s="28" t="n">
        <x:v>220.2</x:v>
      </x:c>
      <x:c r="E178" s="28" t="n">
        <x:f t="shared" si="27"/>
        <x:v>66.06</x:v>
      </x:c>
      <x:c r="F178" s="28" t="n">
        <x:f t="shared" si="2">E178*A178</x:f>
        <x:v>0</x:v>
      </x:c>
      <x:c r="G178" s="28"/>
      <x:c r="H178" s="28"/>
      <x:c r="I178" s="28" t="n">
        <x:v>243.39</x:v>
      </x:c>
      <x:c r="J178" s="28" t="n">
        <x:f t="shared" si="28"/>
        <x:v>73.02</x:v>
      </x:c>
      <x:c r="K178" s="28" t="n">
        <x:f t="shared" si="5">(J178+H178)*A178</x:f>
        <x:v>0</x:v>
      </x:c>
      <x:c r="L178" s="28" t="n">
        <x:f t="shared" si="36"/>
        <x:v>220.2</x:v>
      </x:c>
      <x:c r="M178" s="28" t="n">
        <x:f t="shared" si="6"/>
        <x:v>57.25</x:v>
      </x:c>
      <x:c r="N178" s="28" t="n">
        <x:f t="shared" si="7">(M178+H178)*A178</x:f>
        <x:v>0</x:v>
      </x:c>
      <x:c r="O178" s="28" t="n">
        <x:f t="shared" si="37"/>
        <x:v>220.2</x:v>
      </x:c>
      <x:c r="P178" s="28" t="n">
        <x:f t="shared" si="29"/>
        <x:v>66.06</x:v>
      </x:c>
      <x:c r="Q178" s="28" t="n">
        <x:f t="shared" si="9">(P178+H178)*A178</x:f>
        <x:v>0</x:v>
      </x:c>
      <x:c r="R178" s="28" t="n">
        <x:f t="shared" si="38"/>
        <x:v>220.2</x:v>
      </x:c>
      <x:c r="S178" s="28" t="n">
        <x:f t="shared" si="30"/>
        <x:v>66.06</x:v>
      </x:c>
      <x:c r="T178" s="28" t="n">
        <x:f t="shared" si="12">(S178+H178)*A178</x:f>
        <x:v>0</x:v>
      </x:c>
      <x:c r="U178" s="28" t="n">
        <x:f t="shared" si="39"/>
        <x:v>243.39</x:v>
      </x:c>
      <x:c r="V178" s="28" t="n">
        <x:f t="shared" si="31"/>
        <x:v>73.02</x:v>
      </x:c>
      <x:c r="W178" s="28" t="n">
        <x:f t="shared" si="15">(V178+H178)*A178</x:f>
        <x:v>0</x:v>
      </x:c>
      <x:c r="X178" s="28" t="n">
        <x:v>286.68</x:v>
      </x:c>
      <x:c r="Y178" s="28" t="n">
        <x:f t="shared" si="32"/>
        <x:v>86</x:v>
      </x:c>
      <x:c r="Z178" s="28" t="n">
        <x:f t="shared" si="17">(Y178+H178)*A178</x:f>
        <x:v>0</x:v>
      </x:c>
      <x:c r="AA178" s="28" t="n">
        <x:v>229.63</x:v>
      </x:c>
      <x:c r="AB178" s="28" t="n">
        <x:f t="shared" si="33"/>
        <x:v>68.89</x:v>
      </x:c>
      <x:c r="AC178" s="28" t="n">
        <x:f t="shared" si="19">(AB178+H178)*A178</x:f>
        <x:v>0</x:v>
      </x:c>
      <x:c r="AD178" s="28" t="n">
        <x:v>258.84</x:v>
      </x:c>
      <x:c r="AE178" s="28" t="n">
        <x:f t="shared" si="34"/>
        <x:v>77.65</x:v>
      </x:c>
      <x:c r="AF178" s="29" t="n">
        <x:f t="shared" si="21">(AE178+H178)*A178</x:f>
        <x:v>0</x:v>
      </x:c>
    </x:row>
    <x:row r="179" ht="15.75" customHeight="1">
      <x:c r="A179" s="26"/>
      <x:c r="B179" s="27" t="s">
        <x:v>354</x:v>
      </x:c>
      <x:c r="C179" s="27" t="s">
        <x:v>355</x:v>
      </x:c>
      <x:c r="D179" s="28" t="n">
        <x:v>114.09</x:v>
      </x:c>
      <x:c r="E179" s="28" t="n">
        <x:f t="shared" si="27"/>
        <x:v>34.23</x:v>
      </x:c>
      <x:c r="F179" s="28" t="n">
        <x:f t="shared" si="2">E179*A179</x:f>
        <x:v>0</x:v>
      </x:c>
      <x:c r="G179" s="28"/>
      <x:c r="H179" s="28"/>
      <x:c r="I179" s="28" t="n">
        <x:v>155.46</x:v>
      </x:c>
      <x:c r="J179" s="28" t="n">
        <x:f t="shared" si="28"/>
        <x:v>46.64</x:v>
      </x:c>
      <x:c r="K179" s="28" t="n">
        <x:f t="shared" si="5">(J179+H179)*A179</x:f>
        <x:v>0</x:v>
      </x:c>
      <x:c r="L179" s="28" t="n">
        <x:f>D179*1.2101</x:f>
        <x:v>138.060309</x:v>
      </x:c>
      <x:c r="M179" s="28" t="n">
        <x:f t="shared" si="6"/>
        <x:v>35.9</x:v>
      </x:c>
      <x:c r="N179" s="28" t="n">
        <x:f t="shared" si="7">(M179+H179)*A179</x:f>
        <x:v>0</x:v>
      </x:c>
      <x:c r="O179" s="28" t="n">
        <x:f t="shared" si="37"/>
        <x:v>138.06</x:v>
      </x:c>
      <x:c r="P179" s="28" t="n">
        <x:f t="shared" si="29"/>
        <x:v>41.42</x:v>
      </x:c>
      <x:c r="Q179" s="28" t="n">
        <x:f t="shared" si="9">(P179+H179)*A179</x:f>
        <x:v>0</x:v>
      </x:c>
      <x:c r="R179" s="28" t="n">
        <x:f t="shared" si="38"/>
        <x:v>138.06</x:v>
      </x:c>
      <x:c r="S179" s="28" t="n">
        <x:f t="shared" si="30"/>
        <x:v>41.42</x:v>
      </x:c>
      <x:c r="T179" s="28" t="n">
        <x:f t="shared" si="12">(S179+H179)*A179</x:f>
        <x:v>0</x:v>
      </x:c>
      <x:c r="U179" s="28" t="n">
        <x:f t="shared" si="39"/>
        <x:v>155.46</x:v>
      </x:c>
      <x:c r="V179" s="28" t="n">
        <x:f t="shared" si="31"/>
        <x:v>46.64</x:v>
      </x:c>
      <x:c r="W179" s="28" t="n">
        <x:f t="shared" si="15">(V179+H179)*A179</x:f>
        <x:v>0</x:v>
      </x:c>
      <x:c r="X179" s="28" t="n">
        <x:f t="shared" ref="X179:X181" si="40">L179*1.21</x:f>
        <x:v>167.05297388999998</x:v>
      </x:c>
      <x:c r="Y179" s="28" t="n">
        <x:f t="shared" si="32"/>
        <x:v>50.12</x:v>
      </x:c>
      <x:c r="Z179" s="28" t="n">
        <x:f t="shared" si="17">(Y179+H179)*A179</x:f>
        <x:v>0</x:v>
      </x:c>
      <x:c r="AA179" s="28" t="n">
        <x:v>146.72</x:v>
      </x:c>
      <x:c r="AB179" s="28" t="n">
        <x:f t="shared" si="33"/>
        <x:v>44.02</x:v>
      </x:c>
      <x:c r="AC179" s="28" t="n">
        <x:f t="shared" si="19">(AB179+H179)*A179</x:f>
        <x:v>0</x:v>
      </x:c>
      <x:c r="AD179" s="28" t="n">
        <x:v>159.92</x:v>
      </x:c>
      <x:c r="AE179" s="28" t="n">
        <x:f t="shared" si="34"/>
        <x:v>47.98</x:v>
      </x:c>
      <x:c r="AF179" s="29" t="n">
        <x:f t="shared" si="21">(AE179+H179)*A179</x:f>
        <x:v>0</x:v>
      </x:c>
    </x:row>
    <x:row r="180" ht="15.75" customHeight="1">
      <x:c r="A180" s="26"/>
      <x:c r="B180" s="27" t="s">
        <x:v>356</x:v>
      </x:c>
      <x:c r="C180" s="27" t="s">
        <x:v>357</x:v>
      </x:c>
      <x:c r="D180" s="28" t="n">
        <x:v>136.66</x:v>
      </x:c>
      <x:c r="E180" s="28" t="n">
        <x:f t="shared" si="27"/>
        <x:v>41</x:v>
      </x:c>
      <x:c r="F180" s="28" t="n">
        <x:f t="shared" si="2">E180*A180</x:f>
        <x:v>0</x:v>
      </x:c>
      <x:c r="G180" s="28"/>
      <x:c r="H180" s="28"/>
      <x:c r="I180" s="28"/>
      <x:c r="J180" s="28" t="n">
        <x:f t="shared" si="28"/>
        <x:v>0</x:v>
      </x:c>
      <x:c r="K180" s="28" t="n">
        <x:f t="shared" si="5">(J180+H180)*A180</x:f>
        <x:v>0</x:v>
      </x:c>
      <x:c r="L180" s="28" t="n">
        <x:f t="shared" ref="L180:L181" si="41">D180*1.21</x:f>
        <x:v>165.3586</x:v>
      </x:c>
      <x:c r="M180" s="28" t="n">
        <x:f t="shared" si="6"/>
        <x:v>42.99</x:v>
      </x:c>
      <x:c r="N180" s="28" t="n">
        <x:f t="shared" si="7">(M180+H180)*A180</x:f>
        <x:v>0</x:v>
      </x:c>
      <x:c r="O180" s="28" t="n">
        <x:f t="shared" si="37"/>
        <x:v>165.35</x:v>
      </x:c>
      <x:c r="P180" s="28" t="n">
        <x:f t="shared" si="29"/>
        <x:v>49.61</x:v>
      </x:c>
      <x:c r="Q180" s="28" t="n">
        <x:f t="shared" si="9">(P180+H180)*A180</x:f>
        <x:v>0</x:v>
      </x:c>
      <x:c r="R180" s="28" t="n">
        <x:f t="shared" si="38"/>
        <x:v>165.35</x:v>
      </x:c>
      <x:c r="S180" s="28" t="n">
        <x:f t="shared" si="30"/>
        <x:v>49.61</x:v>
      </x:c>
      <x:c r="T180" s="28" t="n">
        <x:f t="shared" si="12">(S180+H180)*A180</x:f>
        <x:v>0</x:v>
      </x:c>
      <x:c r="U180" s="28" t="str">
        <x:f t="shared" si="39"/>
      </x:c>
      <x:c r="V180" s="28" t="n">
        <x:f t="shared" si="31"/>
        <x:v>0</x:v>
      </x:c>
      <x:c r="W180" s="28" t="n">
        <x:f t="shared" si="15">(V180+H180)*A180</x:f>
        <x:v>0</x:v>
      </x:c>
      <x:c r="X180" s="28" t="n">
        <x:f t="shared" si="40"/>
        <x:v>200.08</x:v>
      </x:c>
      <x:c r="Y180" s="28" t="n">
        <x:f t="shared" si="32"/>
        <x:v>60.02</x:v>
      </x:c>
      <x:c r="Z180" s="28" t="n">
        <x:f t="shared" si="17">(Y180+H180)*A180</x:f>
        <x:v>0</x:v>
      </x:c>
      <x:c r="AA180" s="28"/>
      <x:c r="AB180" s="28" t="n">
        <x:f t="shared" si="33"/>
        <x:v>0</x:v>
      </x:c>
      <x:c r="AC180" s="28" t="n">
        <x:f t="shared" si="19">(AB180+H180)*A180</x:f>
        <x:v>0</x:v>
      </x:c>
      <x:c r="AD180" s="28"/>
      <x:c r="AE180" s="28" t="n">
        <x:f t="shared" si="34"/>
        <x:v>0</x:v>
      </x:c>
      <x:c r="AF180" s="29" t="n">
        <x:f t="shared" si="21">(AE180+H180)*A180</x:f>
        <x:v>0</x:v>
      </x:c>
    </x:row>
    <x:row r="181" ht="15.75" customHeight="1">
      <x:c r="A181" s="26"/>
      <x:c r="B181" s="27" t="s">
        <x:v>358</x:v>
      </x:c>
      <x:c r="C181" s="27" t="s">
        <x:v>359</x:v>
      </x:c>
      <x:c r="D181" s="28" t="n">
        <x:v>171.86</x:v>
      </x:c>
      <x:c r="E181" s="28" t="n">
        <x:f t="shared" si="27"/>
        <x:v>51.56</x:v>
      </x:c>
      <x:c r="F181" s="28" t="n">
        <x:f t="shared" si="2">E181*A181</x:f>
        <x:v>0</x:v>
      </x:c>
      <x:c r="G181" s="28"/>
      <x:c r="H181" s="28"/>
      <x:c r="I181" s="28" t="n">
        <x:v>186.53</x:v>
      </x:c>
      <x:c r="J181" s="28" t="n">
        <x:f t="shared" si="28"/>
        <x:v>55.96</x:v>
      </x:c>
      <x:c r="K181" s="28" t="n">
        <x:f t="shared" si="5">(J181+H181)*A181</x:f>
        <x:v>0</x:v>
      </x:c>
      <x:c r="L181" s="28" t="n">
        <x:f t="shared" si="41"/>
        <x:v>207.95</x:v>
      </x:c>
      <x:c r="M181" s="28" t="n">
        <x:f t="shared" si="6"/>
        <x:v>54.07</x:v>
      </x:c>
      <x:c r="N181" s="28" t="n">
        <x:f t="shared" si="7">(M181+H181)*A181</x:f>
        <x:v>0</x:v>
      </x:c>
      <x:c r="O181" s="28" t="n">
        <x:f t="shared" si="37"/>
        <x:v>207.95</x:v>
      </x:c>
      <x:c r="P181" s="28" t="n">
        <x:f t="shared" si="29"/>
        <x:v>62.39</x:v>
      </x:c>
      <x:c r="Q181" s="28" t="n">
        <x:f t="shared" si="9">(P181+H181)*A181</x:f>
        <x:v>0</x:v>
      </x:c>
      <x:c r="R181" s="28" t="n">
        <x:f t="shared" si="38"/>
        <x:v>207.95</x:v>
      </x:c>
      <x:c r="S181" s="28" t="n">
        <x:f t="shared" si="30"/>
        <x:v>62.39</x:v>
      </x:c>
      <x:c r="T181" s="28" t="n">
        <x:f t="shared" si="12">(S181+H181)*A181</x:f>
        <x:v>0</x:v>
      </x:c>
      <x:c r="U181" s="28" t="n">
        <x:v>207.95</x:v>
      </x:c>
      <x:c r="V181" s="28" t="n">
        <x:f t="shared" si="31"/>
        <x:v>62.39</x:v>
      </x:c>
      <x:c r="W181" s="28" t="n">
        <x:f t="shared" si="15">(V181+H181)*A181</x:f>
        <x:v>0</x:v>
      </x:c>
      <x:c r="X181" s="28" t="n">
        <x:f t="shared" si="40"/>
        <x:v>251.62</x:v>
      </x:c>
      <x:c r="Y181" s="28" t="n">
        <x:f t="shared" si="32"/>
        <x:v>75.49</x:v>
      </x:c>
      <x:c r="Z181" s="28" t="n">
        <x:f t="shared" si="17">(Y181+H181)*A181</x:f>
        <x:v>0</x:v>
      </x:c>
      <x:c r="AA181" s="28" t="n">
        <x:v>176.03</x:v>
      </x:c>
      <x:c r="AB181" s="28" t="n">
        <x:f t="shared" si="33"/>
        <x:v>52.81</x:v>
      </x:c>
      <x:c r="AC181" s="28" t="n">
        <x:f t="shared" si="19">(AB181+H181)*A181</x:f>
        <x:v>0</x:v>
      </x:c>
      <x:c r="AD181" s="28" t="n">
        <x:v>191.83</x:v>
      </x:c>
      <x:c r="AE181" s="28" t="n">
        <x:f t="shared" si="34"/>
        <x:v>57.55</x:v>
      </x:c>
      <x:c r="AF181" s="29" t="n">
        <x:f t="shared" si="21">(AE181+H181)*A181</x:f>
        <x:v>0</x:v>
      </x:c>
    </x:row>
    <x:row r="182" ht="15.75" customHeight="1">
      <x:c r="A182" s="26"/>
      <x:c r="B182" s="27" t="s">
        <x:v>360</x:v>
      </x:c>
      <x:c r="C182" s="27" t="s">
        <x:v>361</x:v>
      </x:c>
      <x:c r="D182" s="28" t="n">
        <x:v>155.95</x:v>
      </x:c>
      <x:c r="E182" s="28" t="n">
        <x:f t="shared" si="27"/>
        <x:v>46.78</x:v>
      </x:c>
      <x:c r="F182" s="28" t="n">
        <x:f t="shared" si="2">E182*A182</x:f>
        <x:v>0</x:v>
      </x:c>
      <x:c r="G182" s="28"/>
      <x:c r="H182" s="28"/>
      <x:c r="I182" s="28" t="n">
        <x:v>167.42</x:v>
      </x:c>
      <x:c r="J182" s="28" t="n">
        <x:f t="shared" si="28"/>
        <x:v>50.23</x:v>
      </x:c>
      <x:c r="K182" s="28" t="n">
        <x:f t="shared" si="5">(J182+H182)*A182</x:f>
        <x:v>0</x:v>
      </x:c>
      <x:c r="L182" s="28" t="n">
        <x:v>155.95</x:v>
      </x:c>
      <x:c r="M182" s="28" t="n">
        <x:f t="shared" si="6"/>
        <x:v>40.55</x:v>
      </x:c>
      <x:c r="N182" s="28" t="n">
        <x:f t="shared" si="7">(M182+H182)*A182</x:f>
        <x:v>0</x:v>
      </x:c>
      <x:c r="O182" s="28" t="n">
        <x:f t="shared" si="37"/>
        <x:v>155.95</x:v>
      </x:c>
      <x:c r="P182" s="28" t="n">
        <x:f t="shared" si="29"/>
        <x:v>46.78</x:v>
      </x:c>
      <x:c r="Q182" s="28" t="n">
        <x:f t="shared" si="9">(P182+H182)*A182</x:f>
        <x:v>0</x:v>
      </x:c>
      <x:c r="R182" s="28" t="n">
        <x:f t="shared" si="38"/>
        <x:v>155.95</x:v>
      </x:c>
      <x:c r="S182" s="28" t="n">
        <x:f t="shared" si="30"/>
        <x:v>46.78</x:v>
      </x:c>
      <x:c r="T182" s="28" t="n">
        <x:f t="shared" si="12">(S182+H182)*A182</x:f>
        <x:v>0</x:v>
      </x:c>
      <x:c r="U182" s="28" t="n">
        <x:f t="shared" ref="U182:U199" si="42">I182</x:f>
        <x:v>167.42</x:v>
      </x:c>
      <x:c r="V182" s="28" t="n">
        <x:f t="shared" si="31"/>
        <x:v>50.23</x:v>
      </x:c>
      <x:c r="W182" s="28" t="n">
        <x:f t="shared" si="15">(V182+H182)*A182</x:f>
        <x:v>0</x:v>
      </x:c>
      <x:c r="X182" s="28" t="n">
        <x:v>155.95</x:v>
      </x:c>
      <x:c r="Y182" s="28" t="n">
        <x:f t="shared" si="32"/>
        <x:v>46.78</x:v>
      </x:c>
      <x:c r="Z182" s="28" t="n">
        <x:f t="shared" si="17">(Y182+H182)*A182</x:f>
        <x:v>0</x:v>
      </x:c>
      <x:c r="AA182" s="28" t="n">
        <x:v>157.84</x:v>
      </x:c>
      <x:c r="AB182" s="28" t="n">
        <x:f t="shared" si="33"/>
        <x:v>47.35</x:v>
      </x:c>
      <x:c r="AC182" s="28" t="n">
        <x:f t="shared" si="19">(AB182+H182)*A182</x:f>
        <x:v>0</x:v>
      </x:c>
      <x:c r="AD182" s="28" t="n">
        <x:v>147.56</x:v>
      </x:c>
      <x:c r="AE182" s="28" t="n">
        <x:f t="shared" si="34"/>
        <x:v>44.27</x:v>
      </x:c>
      <x:c r="AF182" s="29" t="n">
        <x:f t="shared" si="21">(AE182+H182)*A182</x:f>
        <x:v>0</x:v>
      </x:c>
    </x:row>
    <x:row r="183" ht="15.75" customHeight="1">
      <x:c r="A183" s="26"/>
      <x:c r="B183" s="27" t="s">
        <x:v>362</x:v>
      </x:c>
      <x:c r="C183" s="27" t="s">
        <x:v>363</x:v>
      </x:c>
      <x:c r="D183" s="28" t="n">
        <x:v>29.54</x:v>
      </x:c>
      <x:c r="E183" s="28" t="n">
        <x:f t="shared" si="27"/>
        <x:v>8.86</x:v>
      </x:c>
      <x:c r="F183" s="28" t="n">
        <x:f t="shared" si="2">E183*A183</x:f>
        <x:v>0</x:v>
      </x:c>
      <x:c r="G183" s="28"/>
      <x:c r="H183" s="28"/>
      <x:c r="I183" s="28" t="n">
        <x:v>40.74</x:v>
      </x:c>
      <x:c r="J183" s="28" t="n">
        <x:f t="shared" si="28"/>
        <x:v>12.22</x:v>
      </x:c>
      <x:c r="K183" s="28" t="n">
        <x:f t="shared" si="5">(J183+H183)*A183</x:f>
        <x:v>0</x:v>
      </x:c>
      <x:c r="L183" s="28" t="n">
        <x:v>29.54</x:v>
      </x:c>
      <x:c r="M183" s="28" t="n">
        <x:f t="shared" si="6"/>
        <x:v>7.68</x:v>
      </x:c>
      <x:c r="N183" s="28" t="n">
        <x:f t="shared" si="7">(M183+H183)*A183</x:f>
        <x:v>0</x:v>
      </x:c>
      <x:c r="O183" s="28" t="n">
        <x:f t="shared" si="37"/>
        <x:v>29.54</x:v>
      </x:c>
      <x:c r="P183" s="28" t="n">
        <x:f t="shared" si="29"/>
        <x:v>8.86</x:v>
      </x:c>
      <x:c r="Q183" s="28" t="n">
        <x:f t="shared" si="9">(P183+H183)*A183</x:f>
        <x:v>0</x:v>
      </x:c>
      <x:c r="R183" s="28" t="n">
        <x:f t="shared" si="38"/>
        <x:v>29.54</x:v>
      </x:c>
      <x:c r="S183" s="28" t="n">
        <x:f t="shared" si="30"/>
        <x:v>8.86</x:v>
      </x:c>
      <x:c r="T183" s="28" t="n">
        <x:f t="shared" si="12">(S183+H183)*A183</x:f>
        <x:v>0</x:v>
      </x:c>
      <x:c r="U183" s="28" t="n">
        <x:f t="shared" si="42"/>
        <x:v>40.74</x:v>
      </x:c>
      <x:c r="V183" s="28" t="n">
        <x:f t="shared" si="31"/>
        <x:v>12.22</x:v>
      </x:c>
      <x:c r="W183" s="28" t="n">
        <x:f t="shared" si="15">(V183+H183)*A183</x:f>
        <x:v>0</x:v>
      </x:c>
      <x:c r="X183" s="28" t="n">
        <x:v>133.44</x:v>
      </x:c>
      <x:c r="Y183" s="28" t="n">
        <x:f t="shared" si="32"/>
        <x:v>40.03</x:v>
      </x:c>
      <x:c r="Z183" s="28" t="n">
        <x:f t="shared" si="17">(Y183+H183)*A183</x:f>
        <x:v>0</x:v>
      </x:c>
      <x:c r="AA183" s="28" t="n">
        <x:v>39.07</x:v>
      </x:c>
      <x:c r="AB183" s="28" t="n">
        <x:f t="shared" si="33"/>
        <x:v>11.72</x:v>
      </x:c>
      <x:c r="AC183" s="28" t="n">
        <x:f t="shared" si="19">(AB183+H183)*A183</x:f>
        <x:v>0</x:v>
      </x:c>
      <x:c r="AD183" s="28" t="n">
        <x:v>94.14</x:v>
      </x:c>
      <x:c r="AE183" s="28" t="n">
        <x:f t="shared" si="34"/>
        <x:v>28.24</x:v>
      </x:c>
      <x:c r="AF183" s="29" t="n">
        <x:f t="shared" si="21">(AE183+H183)*A183</x:f>
        <x:v>0</x:v>
      </x:c>
    </x:row>
    <x:row r="184" ht="15.75" customHeight="1">
      <x:c r="A184" s="26"/>
      <x:c r="B184" s="27" t="s">
        <x:v>364</x:v>
      </x:c>
      <x:c r="C184" s="27" t="s">
        <x:v>365</x:v>
      </x:c>
      <x:c r="D184" s="28" t="n">
        <x:v>37.15</x:v>
      </x:c>
      <x:c r="E184" s="28" t="n">
        <x:f t="shared" si="27"/>
        <x:v>11.14</x:v>
      </x:c>
      <x:c r="F184" s="28" t="n">
        <x:f t="shared" si="2">E184*A184</x:f>
        <x:v>0</x:v>
      </x:c>
      <x:c r="G184" s="28"/>
      <x:c r="H184" s="28"/>
      <x:c r="I184" s="28" t="n">
        <x:v>44.06</x:v>
      </x:c>
      <x:c r="J184" s="28" t="n">
        <x:f t="shared" si="28"/>
        <x:v>13.22</x:v>
      </x:c>
      <x:c r="K184" s="28" t="n">
        <x:f t="shared" si="5">(J184+H184)*A184</x:f>
        <x:v>0</x:v>
      </x:c>
      <x:c r="L184" s="28" t="n">
        <x:v>37.15</x:v>
      </x:c>
      <x:c r="M184" s="28" t="n">
        <x:f t="shared" si="6"/>
        <x:v>9.66</x:v>
      </x:c>
      <x:c r="N184" s="28" t="n">
        <x:f t="shared" si="7">(M184+H184)*A184</x:f>
        <x:v>0</x:v>
      </x:c>
      <x:c r="O184" s="28" t="n">
        <x:f t="shared" si="37"/>
        <x:v>37.15</x:v>
      </x:c>
      <x:c r="P184" s="28" t="n">
        <x:f t="shared" si="29"/>
        <x:v>11.14</x:v>
      </x:c>
      <x:c r="Q184" s="28" t="n">
        <x:f t="shared" si="9">(P184+H184)*A184</x:f>
        <x:v>0</x:v>
      </x:c>
      <x:c r="R184" s="28" t="n">
        <x:f t="shared" si="38"/>
        <x:v>37.15</x:v>
      </x:c>
      <x:c r="S184" s="28" t="n">
        <x:f t="shared" si="30"/>
        <x:v>11.14</x:v>
      </x:c>
      <x:c r="T184" s="28" t="n">
        <x:f t="shared" si="12">(S184+H184)*A184</x:f>
        <x:v>0</x:v>
      </x:c>
      <x:c r="U184" s="28" t="n">
        <x:f t="shared" si="42"/>
        <x:v>44.06</x:v>
      </x:c>
      <x:c r="V184" s="28" t="n">
        <x:f t="shared" si="31"/>
        <x:v>13.22</x:v>
      </x:c>
      <x:c r="W184" s="28" t="n">
        <x:f t="shared" si="15">(V184+H184)*A184</x:f>
        <x:v>0</x:v>
      </x:c>
      <x:c r="X184" s="28" t="n">
        <x:v>158.46</x:v>
      </x:c>
      <x:c r="Y184" s="28" t="n">
        <x:f t="shared" si="32"/>
        <x:v>47.54</x:v>
      </x:c>
      <x:c r="Z184" s="28" t="n">
        <x:f t="shared" si="17">(Y184+H184)*A184</x:f>
        <x:v>0</x:v>
      </x:c>
      <x:c r="AA184" s="28" t="n">
        <x:v>42.26</x:v>
      </x:c>
      <x:c r="AB184" s="28" t="n">
        <x:f t="shared" si="33"/>
        <x:v>12.68</x:v>
      </x:c>
      <x:c r="AC184" s="28" t="n">
        <x:f t="shared" si="19">(AB184+H184)*A184</x:f>
        <x:v>0</x:v>
      </x:c>
      <x:c r="AD184" s="28" t="n">
        <x:v>113.25</x:v>
      </x:c>
      <x:c r="AE184" s="28" t="n">
        <x:f t="shared" si="34"/>
        <x:v>33.98</x:v>
      </x:c>
      <x:c r="AF184" s="29" t="n">
        <x:f t="shared" si="21">(AE184+H184)*A184</x:f>
        <x:v>0</x:v>
      </x:c>
    </x:row>
    <x:row r="185" ht="15.75" customHeight="1">
      <x:c r="A185" s="26"/>
      <x:c r="B185" s="27" t="s">
        <x:v>366</x:v>
      </x:c>
      <x:c r="C185" s="27" t="s">
        <x:v>367</x:v>
      </x:c>
      <x:c r="D185" s="28" t="n">
        <x:v>53.5</x:v>
      </x:c>
      <x:c r="E185" s="28" t="n">
        <x:f t="shared" si="27"/>
        <x:v>16.05</x:v>
      </x:c>
      <x:c r="F185" s="28" t="n">
        <x:f t="shared" si="2">E185*A185</x:f>
        <x:v>0</x:v>
      </x:c>
      <x:c r="G185" s="28"/>
      <x:c r="H185" s="28"/>
      <x:c r="I185" s="28" t="n">
        <x:v>58.53</x:v>
      </x:c>
      <x:c r="J185" s="28" t="n">
        <x:f t="shared" si="28"/>
        <x:v>17.56</x:v>
      </x:c>
      <x:c r="K185" s="28" t="n">
        <x:f t="shared" si="5">(J185+H185)*A185</x:f>
        <x:v>0</x:v>
      </x:c>
      <x:c r="L185" s="28" t="n">
        <x:v>53.5</x:v>
      </x:c>
      <x:c r="M185" s="28" t="n">
        <x:f t="shared" si="6"/>
        <x:v>13.91</x:v>
      </x:c>
      <x:c r="N185" s="28" t="n">
        <x:f t="shared" si="7">(M185+H185)*A185</x:f>
        <x:v>0</x:v>
      </x:c>
      <x:c r="O185" s="28" t="n">
        <x:f t="shared" si="37"/>
        <x:v>53.5</x:v>
      </x:c>
      <x:c r="P185" s="28" t="n">
        <x:f t="shared" si="29"/>
        <x:v>16.05</x:v>
      </x:c>
      <x:c r="Q185" s="28" t="n">
        <x:f t="shared" si="9">(P185+H185)*A185</x:f>
        <x:v>0</x:v>
      </x:c>
      <x:c r="R185" s="28" t="n">
        <x:f t="shared" si="38"/>
        <x:v>53.5</x:v>
      </x:c>
      <x:c r="S185" s="28" t="n">
        <x:f t="shared" si="30"/>
        <x:v>16.05</x:v>
      </x:c>
      <x:c r="T185" s="28" t="n">
        <x:f t="shared" si="12">(S185+H185)*A185</x:f>
        <x:v>0</x:v>
      </x:c>
      <x:c r="U185" s="28" t="n">
        <x:f t="shared" si="42"/>
        <x:v>58.53</x:v>
      </x:c>
      <x:c r="V185" s="28" t="n">
        <x:f t="shared" si="31"/>
        <x:v>17.56</x:v>
      </x:c>
      <x:c r="W185" s="28" t="n">
        <x:f t="shared" si="15">(V185+H185)*A185</x:f>
        <x:v>0</x:v>
      </x:c>
      <x:c r="X185" s="28" t="n">
        <x:v>183.64</x:v>
      </x:c>
      <x:c r="Y185" s="28" t="n">
        <x:f t="shared" si="32"/>
        <x:v>55.09</x:v>
      </x:c>
      <x:c r="Z185" s="28" t="n">
        <x:f t="shared" si="17">(Y185+H185)*A185</x:f>
        <x:v>0</x:v>
      </x:c>
      <x:c r="AA185" s="28" t="n">
        <x:v>51.13</x:v>
      </x:c>
      <x:c r="AB185" s="28" t="n">
        <x:f t="shared" si="33"/>
        <x:v>15.34</x:v>
      </x:c>
      <x:c r="AC185" s="28" t="n">
        <x:f t="shared" si="19">(AB185+H185)*A185</x:f>
        <x:v>0</x:v>
      </x:c>
      <x:c r="AD185" s="28" t="n">
        <x:v>132.9</x:v>
      </x:c>
      <x:c r="AE185" s="28" t="n">
        <x:f t="shared" si="34"/>
        <x:v>39.87</x:v>
      </x:c>
      <x:c r="AF185" s="29" t="n">
        <x:f t="shared" si="21">(AE185+H185)*A185</x:f>
        <x:v>0</x:v>
      </x:c>
    </x:row>
    <x:row r="186" ht="15.75" customHeight="1">
      <x:c r="A186" s="26"/>
      <x:c r="B186" s="27" t="s">
        <x:v>368</x:v>
      </x:c>
      <x:c r="C186" s="27" t="s">
        <x:v>369</x:v>
      </x:c>
      <x:c r="D186" s="28" t="n">
        <x:v>85.84</x:v>
      </x:c>
      <x:c r="E186" s="28" t="n">
        <x:f t="shared" si="27"/>
        <x:v>25.75</x:v>
      </x:c>
      <x:c r="F186" s="28" t="n">
        <x:f t="shared" si="2">E186*A186</x:f>
        <x:v>0</x:v>
      </x:c>
      <x:c r="G186" s="28"/>
      <x:c r="H186" s="28"/>
      <x:c r="I186" s="28" t="n">
        <x:v>85.84</x:v>
      </x:c>
      <x:c r="J186" s="28" t="n">
        <x:f t="shared" si="28"/>
        <x:v>25.75</x:v>
      </x:c>
      <x:c r="K186" s="28" t="n">
        <x:f t="shared" si="5">(J186+H186)*A186</x:f>
        <x:v>0</x:v>
      </x:c>
      <x:c r="L186" s="28" t="n">
        <x:f>I186</x:f>
        <x:v>85.84</x:v>
      </x:c>
      <x:c r="M186" s="28" t="n">
        <x:f t="shared" si="6"/>
        <x:v>22.32</x:v>
      </x:c>
      <x:c r="N186" s="28" t="n">
        <x:f t="shared" si="7">(M186+H186)*A186</x:f>
        <x:v>0</x:v>
      </x:c>
      <x:c r="O186" s="28" t="n">
        <x:f t="shared" si="37"/>
        <x:v>85.84</x:v>
      </x:c>
      <x:c r="P186" s="28" t="n">
        <x:f t="shared" si="29"/>
        <x:v>25.75</x:v>
      </x:c>
      <x:c r="Q186" s="28" t="n">
        <x:f t="shared" si="9">(P186+H186)*A186</x:f>
        <x:v>0</x:v>
      </x:c>
      <x:c r="R186" s="28" t="n">
        <x:f t="shared" si="38"/>
        <x:v>85.84</x:v>
      </x:c>
      <x:c r="S186" s="28" t="n">
        <x:f t="shared" si="30"/>
        <x:v>25.75</x:v>
      </x:c>
      <x:c r="T186" s="28" t="n">
        <x:f t="shared" si="12">(S186+H186)*A186</x:f>
        <x:v>0</x:v>
      </x:c>
      <x:c r="U186" s="28" t="n">
        <x:f t="shared" si="42"/>
        <x:v>85.84</x:v>
      </x:c>
      <x:c r="V186" s="28" t="n">
        <x:f t="shared" si="31"/>
        <x:v>25.75</x:v>
      </x:c>
      <x:c r="W186" s="28" t="n">
        <x:f t="shared" si="15">(V186+H186)*A186</x:f>
        <x:v>0</x:v>
      </x:c>
      <x:c r="X186" s="28" t="n">
        <x:v>104.86</x:v>
      </x:c>
      <x:c r="Y186" s="28" t="n">
        <x:f t="shared" si="32"/>
        <x:v>31.46</x:v>
      </x:c>
      <x:c r="Z186" s="28" t="n">
        <x:f t="shared" si="17">(Y186+H186)*A186</x:f>
        <x:v>0</x:v>
      </x:c>
      <x:c r="AA186" s="28" t="n">
        <x:v>71.86</x:v>
      </x:c>
      <x:c r="AB186" s="28" t="n">
        <x:f t="shared" si="33"/>
        <x:v>21.56</x:v>
      </x:c>
      <x:c r="AC186" s="28" t="n">
        <x:f t="shared" si="19">(AB186+H186)*A186</x:f>
        <x:v>0</x:v>
      </x:c>
      <x:c r="AD186" s="28" t="n">
        <x:v>85.84</x:v>
      </x:c>
      <x:c r="AE186" s="28" t="n">
        <x:f t="shared" si="34"/>
        <x:v>25.75</x:v>
      </x:c>
      <x:c r="AF186" s="29" t="n">
        <x:f t="shared" si="21">(AE186+H186)*A186</x:f>
        <x:v>0</x:v>
      </x:c>
    </x:row>
    <x:row r="187" ht="15.75" customHeight="1">
      <x:c r="A187" s="26"/>
      <x:c r="B187" s="27" t="s">
        <x:v>370</x:v>
      </x:c>
      <x:c r="C187" s="27" t="s">
        <x:v>371</x:v>
      </x:c>
      <x:c r="D187" s="28" t="n">
        <x:v>183.96</x:v>
      </x:c>
      <x:c r="E187" s="28" t="n">
        <x:f t="shared" si="27"/>
        <x:v>55.19</x:v>
      </x:c>
      <x:c r="F187" s="28" t="n">
        <x:f t="shared" si="2">E187*A187</x:f>
        <x:v>0</x:v>
      </x:c>
      <x:c r="G187" s="28"/>
      <x:c r="H187" s="28"/>
      <x:c r="I187" s="28" t="n">
        <x:v>255.04</x:v>
      </x:c>
      <x:c r="J187" s="28" t="n">
        <x:f t="shared" si="28"/>
        <x:v>76.51</x:v>
      </x:c>
      <x:c r="K187" s="28" t="n">
        <x:f t="shared" si="5">(J187+H187)*A187</x:f>
        <x:v>0</x:v>
      </x:c>
      <x:c r="L187" s="28" t="n">
        <x:v>240.58</x:v>
      </x:c>
      <x:c r="M187" s="28" t="n">
        <x:f t="shared" si="6"/>
        <x:v>62.55</x:v>
      </x:c>
      <x:c r="N187" s="28" t="n">
        <x:f t="shared" si="7">(M187+H187)*A187</x:f>
        <x:v>0</x:v>
      </x:c>
      <x:c r="O187" s="28" t="n">
        <x:f t="shared" si="37"/>
        <x:v>240.58</x:v>
      </x:c>
      <x:c r="P187" s="28" t="n">
        <x:f t="shared" si="29"/>
        <x:v>72.18</x:v>
      </x:c>
      <x:c r="Q187" s="28" t="n">
        <x:f t="shared" si="9">(P187+H187)*A187</x:f>
        <x:v>0</x:v>
      </x:c>
      <x:c r="R187" s="28" t="n">
        <x:f t="shared" si="38"/>
        <x:v>240.58</x:v>
      </x:c>
      <x:c r="S187" s="28" t="n">
        <x:f t="shared" si="30"/>
        <x:v>72.18</x:v>
      </x:c>
      <x:c r="T187" s="28" t="n">
        <x:f t="shared" si="12">(S187+H187)*A187</x:f>
        <x:v>0</x:v>
      </x:c>
      <x:c r="U187" s="28" t="n">
        <x:f t="shared" si="42"/>
        <x:v>255.04</x:v>
      </x:c>
      <x:c r="V187" s="28" t="n">
        <x:f t="shared" si="31"/>
        <x:v>76.51</x:v>
      </x:c>
      <x:c r="W187" s="28" t="n">
        <x:f t="shared" si="15">(V187+H187)*A187</x:f>
        <x:v>0</x:v>
      </x:c>
      <x:c r="X187" s="28" t="n">
        <x:v>323.87</x:v>
      </x:c>
      <x:c r="Y187" s="28" t="n">
        <x:f t="shared" si="32"/>
        <x:v>97.16</x:v>
      </x:c>
      <x:c r="Z187" s="28" t="n">
        <x:f t="shared" si="17">(Y187+H187)*A187</x:f>
        <x:v>0</x:v>
      </x:c>
      <x:c r="AA187" s="28" t="n">
        <x:v>240.58</x:v>
      </x:c>
      <x:c r="AB187" s="28" t="n">
        <x:f t="shared" si="33"/>
        <x:v>72.18</x:v>
      </x:c>
      <x:c r="AC187" s="28" t="n">
        <x:f t="shared" si="19">(AB187+H187)*A187</x:f>
        <x:v>0</x:v>
      </x:c>
      <x:c r="AD187" s="28" t="n">
        <x:v>262.26</x:v>
      </x:c>
      <x:c r="AE187" s="28" t="n">
        <x:f t="shared" si="34"/>
        <x:v>78.68</x:v>
      </x:c>
      <x:c r="AF187" s="29" t="n">
        <x:f t="shared" si="21">(AE187+H187)*A187</x:f>
        <x:v>0</x:v>
      </x:c>
    </x:row>
    <x:row r="188" ht="15.75" customHeight="1">
      <x:c r="A188" s="26"/>
      <x:c r="B188" s="27" t="s">
        <x:v>372</x:v>
      </x:c>
      <x:c r="C188" s="27" t="s">
        <x:v>373</x:v>
      </x:c>
      <x:c r="D188" s="28" t="n">
        <x:v>142.51</x:v>
      </x:c>
      <x:c r="E188" s="28" t="n">
        <x:f t="shared" si="27"/>
        <x:v>42.75</x:v>
      </x:c>
      <x:c r="F188" s="28" t="n">
        <x:f t="shared" si="2">E188*A188</x:f>
        <x:v>0</x:v>
      </x:c>
      <x:c r="G188" s="28"/>
      <x:c r="H188" s="28"/>
      <x:c r="I188" s="28" t="n">
        <x:v>151.09</x:v>
      </x:c>
      <x:c r="J188" s="28" t="n">
        <x:f t="shared" si="28"/>
        <x:v>45.33</x:v>
      </x:c>
      <x:c r="K188" s="28" t="n">
        <x:f t="shared" si="5">(J188+H188)*A188</x:f>
        <x:v>0</x:v>
      </x:c>
      <x:c r="L188" s="28" t="n">
        <x:f t="shared" ref="L188:L190" si="43">D188</x:f>
        <x:v>142.51</x:v>
      </x:c>
      <x:c r="M188" s="28" t="n">
        <x:f t="shared" si="6"/>
        <x:v>37.05</x:v>
      </x:c>
      <x:c r="N188" s="28" t="n">
        <x:f t="shared" si="7">(M188+H188)*A188</x:f>
        <x:v>0</x:v>
      </x:c>
      <x:c r="O188" s="28" t="n">
        <x:f t="shared" si="37"/>
        <x:v>142.51</x:v>
      </x:c>
      <x:c r="P188" s="28" t="n">
        <x:f t="shared" si="29"/>
        <x:v>42.75</x:v>
      </x:c>
      <x:c r="Q188" s="28" t="n">
        <x:f t="shared" si="9">(P188+H188)*A188</x:f>
        <x:v>0</x:v>
      </x:c>
      <x:c r="R188" s="28" t="n">
        <x:f t="shared" si="38"/>
        <x:v>142.51</x:v>
      </x:c>
      <x:c r="S188" s="28" t="n">
        <x:f t="shared" si="30"/>
        <x:v>42.75</x:v>
      </x:c>
      <x:c r="T188" s="28" t="n">
        <x:f t="shared" si="12">(S188+H188)*A188</x:f>
        <x:v>0</x:v>
      </x:c>
      <x:c r="U188" s="28" t="n">
        <x:f t="shared" si="42"/>
        <x:v>151.09</x:v>
      </x:c>
      <x:c r="V188" s="28" t="n">
        <x:f t="shared" si="31"/>
        <x:v>45.33</x:v>
      </x:c>
      <x:c r="W188" s="28" t="n">
        <x:f t="shared" si="15">(V188+H188)*A188</x:f>
        <x:v>0</x:v>
      </x:c>
      <x:c r="X188" s="28" t="n">
        <x:v>217.68</x:v>
      </x:c>
      <x:c r="Y188" s="28" t="n">
        <x:f t="shared" si="32"/>
        <x:v>65.3</x:v>
      </x:c>
      <x:c r="Z188" s="28" t="n">
        <x:f t="shared" si="17">(Y188+H188)*A188</x:f>
        <x:v>0</x:v>
      </x:c>
      <x:c r="AA188" s="28" t="n">
        <x:v>151.09</x:v>
      </x:c>
      <x:c r="AB188" s="28" t="n">
        <x:f t="shared" si="33"/>
        <x:v>45.33</x:v>
      </x:c>
      <x:c r="AC188" s="28" t="n">
        <x:f t="shared" si="19">(AB188+H188)*A188</x:f>
        <x:v>0</x:v>
      </x:c>
      <x:c r="AD188" s="28"/>
      <x:c r="AE188" s="28" t="n">
        <x:f t="shared" si="34"/>
        <x:v>0</x:v>
      </x:c>
      <x:c r="AF188" s="29" t="n">
        <x:f t="shared" si="21">(AE188+H188)*A188</x:f>
        <x:v>0</x:v>
      </x:c>
    </x:row>
    <x:row r="189" ht="15.75" customHeight="1">
      <x:c r="A189" s="26"/>
      <x:c r="B189" s="27" t="s">
        <x:v>374</x:v>
      </x:c>
      <x:c r="C189" s="27" t="s">
        <x:v>375</x:v>
      </x:c>
      <x:c r="D189" s="28" t="n">
        <x:v>160.15</x:v>
      </x:c>
      <x:c r="E189" s="28" t="n">
        <x:f t="shared" si="27"/>
        <x:v>48.05</x:v>
      </x:c>
      <x:c r="F189" s="28" t="n">
        <x:f t="shared" si="2">E189*A189</x:f>
        <x:v>0</x:v>
      </x:c>
      <x:c r="G189" s="28"/>
      <x:c r="H189" s="28"/>
      <x:c r="I189" s="28" t="n">
        <x:v>169.81</x:v>
      </x:c>
      <x:c r="J189" s="28" t="n">
        <x:f t="shared" si="28"/>
        <x:v>50.94</x:v>
      </x:c>
      <x:c r="K189" s="28" t="n">
        <x:f t="shared" si="5">(J189+H189)*A189</x:f>
        <x:v>0</x:v>
      </x:c>
      <x:c r="L189" s="28" t="n">
        <x:f t="shared" si="43"/>
        <x:v>160.15</x:v>
      </x:c>
      <x:c r="M189" s="28" t="n">
        <x:f t="shared" si="6"/>
        <x:v>41.64</x:v>
      </x:c>
      <x:c r="N189" s="28" t="n">
        <x:f t="shared" si="7">(M189+H189)*A189</x:f>
        <x:v>0</x:v>
      </x:c>
      <x:c r="O189" s="28" t="n">
        <x:f t="shared" si="37"/>
        <x:v>160.15</x:v>
      </x:c>
      <x:c r="P189" s="28" t="n">
        <x:f t="shared" si="29"/>
        <x:v>48.05</x:v>
      </x:c>
      <x:c r="Q189" s="28" t="n">
        <x:f t="shared" si="9">(P189+H189)*A189</x:f>
        <x:v>0</x:v>
      </x:c>
      <x:c r="R189" s="28" t="n">
        <x:f t="shared" si="38"/>
        <x:v>160.15</x:v>
      </x:c>
      <x:c r="S189" s="28" t="n">
        <x:f t="shared" si="30"/>
        <x:v>48.05</x:v>
      </x:c>
      <x:c r="T189" s="28" t="n">
        <x:f t="shared" si="12">(S189+H189)*A189</x:f>
        <x:v>0</x:v>
      </x:c>
      <x:c r="U189" s="28" t="n">
        <x:f t="shared" si="42"/>
        <x:v>169.81</x:v>
      </x:c>
      <x:c r="V189" s="28" t="n">
        <x:f t="shared" si="31"/>
        <x:v>50.94</x:v>
      </x:c>
      <x:c r="W189" s="28" t="n">
        <x:f t="shared" si="15">(V189+H189)*A189</x:f>
        <x:v>0</x:v>
      </x:c>
      <x:c r="X189" s="28" t="n">
        <x:v>242.98</x:v>
      </x:c>
      <x:c r="Y189" s="28" t="n">
        <x:f t="shared" si="32"/>
        <x:v>72.89</x:v>
      </x:c>
      <x:c r="Z189" s="28" t="n">
        <x:f t="shared" si="17">(Y189+H189)*A189</x:f>
        <x:v>0</x:v>
      </x:c>
      <x:c r="AA189" s="28" t="n">
        <x:v>169.81</x:v>
      </x:c>
      <x:c r="AB189" s="28" t="n">
        <x:f t="shared" si="33"/>
        <x:v>50.94</x:v>
      </x:c>
      <x:c r="AC189" s="28" t="n">
        <x:f t="shared" si="19">(AB189+H189)*A189</x:f>
        <x:v>0</x:v>
      </x:c>
      <x:c r="AD189" s="28"/>
      <x:c r="AE189" s="28" t="n">
        <x:f t="shared" si="34"/>
        <x:v>0</x:v>
      </x:c>
      <x:c r="AF189" s="29" t="n">
        <x:f t="shared" si="21">(AE189+H189)*A189</x:f>
        <x:v>0</x:v>
      </x:c>
    </x:row>
    <x:row r="190" ht="15.75" customHeight="1">
      <x:c r="A190" s="26"/>
      <x:c r="B190" s="27" t="s">
        <x:v>376</x:v>
      </x:c>
      <x:c r="C190" s="27" t="s">
        <x:v>377</x:v>
      </x:c>
      <x:c r="D190" s="28" t="n">
        <x:v>174.91</x:v>
      </x:c>
      <x:c r="E190" s="28" t="n">
        <x:f t="shared" si="27"/>
        <x:v>52.47</x:v>
      </x:c>
      <x:c r="F190" s="28" t="n">
        <x:f t="shared" si="2">E190*A190</x:f>
        <x:v>0</x:v>
      </x:c>
      <x:c r="G190" s="28"/>
      <x:c r="H190" s="28"/>
      <x:c r="I190" s="28" t="n">
        <x:v>185.38</x:v>
      </x:c>
      <x:c r="J190" s="28" t="n">
        <x:f t="shared" si="28"/>
        <x:v>55.61</x:v>
      </x:c>
      <x:c r="K190" s="28" t="n">
        <x:f t="shared" si="5">(J190+H190)*A190</x:f>
        <x:v>0</x:v>
      </x:c>
      <x:c r="L190" s="28" t="n">
        <x:f t="shared" si="43"/>
        <x:v>174.91</x:v>
      </x:c>
      <x:c r="M190" s="28" t="n">
        <x:f t="shared" si="6"/>
        <x:v>45.48</x:v>
      </x:c>
      <x:c r="N190" s="28" t="n">
        <x:f t="shared" si="7">(M190+H190)*A190</x:f>
        <x:v>0</x:v>
      </x:c>
      <x:c r="O190" s="28" t="n">
        <x:f t="shared" si="37"/>
        <x:v>174.91</x:v>
      </x:c>
      <x:c r="P190" s="28" t="n">
        <x:f t="shared" si="29"/>
        <x:v>52.47</x:v>
      </x:c>
      <x:c r="Q190" s="28" t="n">
        <x:f t="shared" si="9">(P190+H190)*A190</x:f>
        <x:v>0</x:v>
      </x:c>
      <x:c r="R190" s="28" t="n">
        <x:f t="shared" si="38"/>
        <x:v>174.91</x:v>
      </x:c>
      <x:c r="S190" s="28" t="n">
        <x:f t="shared" si="30"/>
        <x:v>52.47</x:v>
      </x:c>
      <x:c r="T190" s="28" t="n">
        <x:f t="shared" si="12">(S190+H190)*A190</x:f>
        <x:v>0</x:v>
      </x:c>
      <x:c r="U190" s="28" t="n">
        <x:f t="shared" si="42"/>
        <x:v>185.38</x:v>
      </x:c>
      <x:c r="V190" s="28" t="n">
        <x:f t="shared" si="31"/>
        <x:v>55.61</x:v>
      </x:c>
      <x:c r="W190" s="28" t="n">
        <x:f t="shared" si="15">(V190+H190)*A190</x:f>
        <x:v>0</x:v>
      </x:c>
      <x:c r="X190" s="28" t="n">
        <x:v>291.2</x:v>
      </x:c>
      <x:c r="Y190" s="28" t="n">
        <x:f t="shared" si="32"/>
        <x:v>87.36</x:v>
      </x:c>
      <x:c r="Z190" s="28" t="n">
        <x:f t="shared" si="17">(Y190+H190)*A190</x:f>
        <x:v>0</x:v>
      </x:c>
      <x:c r="AA190" s="28" t="n">
        <x:v>185.38</x:v>
      </x:c>
      <x:c r="AB190" s="28" t="n">
        <x:f t="shared" si="33"/>
        <x:v>55.61</x:v>
      </x:c>
      <x:c r="AC190" s="28" t="n">
        <x:f t="shared" si="19">(AB190+H190)*A190</x:f>
        <x:v>0</x:v>
      </x:c>
      <x:c r="AD190" s="28"/>
      <x:c r="AE190" s="28" t="n">
        <x:f t="shared" si="34"/>
        <x:v>0</x:v>
      </x:c>
      <x:c r="AF190" s="29" t="n">
        <x:f t="shared" si="21">(AE190+H190)*A190</x:f>
        <x:v>0</x:v>
      </x:c>
    </x:row>
    <x:row r="191" ht="15.75" customHeight="1">
      <x:c r="A191" s="26"/>
      <x:c r="B191" s="27" t="s">
        <x:v>378</x:v>
      </x:c>
      <x:c r="C191" s="27" t="s">
        <x:v>379</x:v>
      </x:c>
      <x:c r="D191" s="28" t="n">
        <x:v>156.26</x:v>
      </x:c>
      <x:c r="E191" s="28" t="n">
        <x:f t="shared" si="27"/>
        <x:v>46.88</x:v>
      </x:c>
      <x:c r="F191" s="28" t="n">
        <x:f t="shared" si="2">E191*A191</x:f>
        <x:v>0</x:v>
      </x:c>
      <x:c r="G191" s="28"/>
      <x:c r="H191" s="28"/>
      <x:c r="I191" s="28" t="n">
        <x:f>D191</x:f>
        <x:v>156.26</x:v>
      </x:c>
      <x:c r="J191" s="28" t="n">
        <x:f t="shared" si="28"/>
        <x:v>46.88</x:v>
      </x:c>
      <x:c r="K191" s="28" t="n">
        <x:f t="shared" si="5">(J191+H191)*A191</x:f>
        <x:v>0</x:v>
      </x:c>
      <x:c r="L191" s="28" t="n">
        <x:v>156.26</x:v>
      </x:c>
      <x:c r="M191" s="28" t="n">
        <x:f t="shared" si="6"/>
        <x:v>40.63</x:v>
      </x:c>
      <x:c r="N191" s="28" t="n">
        <x:f t="shared" si="7">(M191+H191)*A191</x:f>
        <x:v>0</x:v>
      </x:c>
      <x:c r="O191" s="28" t="n">
        <x:f t="shared" si="37"/>
        <x:v>156.26</x:v>
      </x:c>
      <x:c r="P191" s="28" t="n">
        <x:f t="shared" si="29"/>
        <x:v>46.88</x:v>
      </x:c>
      <x:c r="Q191" s="28" t="n">
        <x:f t="shared" si="9">(P191+H191)*A191</x:f>
        <x:v>0</x:v>
      </x:c>
      <x:c r="R191" s="28" t="n">
        <x:f t="shared" si="38"/>
        <x:v>156.26</x:v>
      </x:c>
      <x:c r="S191" s="28" t="n">
        <x:f t="shared" si="30"/>
        <x:v>46.88</x:v>
      </x:c>
      <x:c r="T191" s="28" t="n">
        <x:f t="shared" si="12">(S191+H191)*A191</x:f>
        <x:v>0</x:v>
      </x:c>
      <x:c r="U191" s="28" t="n">
        <x:f t="shared" si="42"/>
        <x:v>156.26</x:v>
      </x:c>
      <x:c r="V191" s="28" t="n">
        <x:f t="shared" si="31"/>
        <x:v>46.88</x:v>
      </x:c>
      <x:c r="W191" s="28" t="n">
        <x:f t="shared" si="15">(V191+H191)*A191</x:f>
        <x:v>0</x:v>
      </x:c>
      <x:c r="X191" s="28" t="n">
        <x:v>232.94</x:v>
      </x:c>
      <x:c r="Y191" s="28" t="n">
        <x:f t="shared" si="32"/>
        <x:v>69.88</x:v>
      </x:c>
      <x:c r="Z191" s="28" t="n">
        <x:f t="shared" si="17">(Y191+H191)*A191</x:f>
        <x:v>0</x:v>
      </x:c>
      <x:c r="AA191" s="28" t="n">
        <x:v>164.02</x:v>
      </x:c>
      <x:c r="AB191" s="28" t="n">
        <x:f t="shared" si="33"/>
        <x:v>49.2</x:v>
      </x:c>
      <x:c r="AC191" s="28" t="n">
        <x:f t="shared" si="19">(AB191+H191)*A191</x:f>
        <x:v>0</x:v>
      </x:c>
      <x:c r="AD191" s="28" t="n">
        <x:v>170.34</x:v>
      </x:c>
      <x:c r="AE191" s="28" t="n">
        <x:f t="shared" si="34"/>
        <x:v>51.1</x:v>
      </x:c>
      <x:c r="AF191" s="29" t="n">
        <x:f t="shared" si="21">(AE191+H191)*A191</x:f>
        <x:v>0</x:v>
      </x:c>
    </x:row>
    <x:row r="192" ht="15.75" customHeight="1">
      <x:c r="A192" s="26"/>
      <x:c r="B192" s="27" t="s">
        <x:v>380</x:v>
      </x:c>
      <x:c r="C192" s="27" t="s">
        <x:v>381</x:v>
      </x:c>
      <x:c r="D192" s="28" t="n">
        <x:v>177.16</x:v>
      </x:c>
      <x:c r="E192" s="28" t="n">
        <x:f t="shared" si="27"/>
        <x:v>53.15</x:v>
      </x:c>
      <x:c r="F192" s="28" t="n">
        <x:f t="shared" si="2">E192*A192</x:f>
        <x:v>0</x:v>
      </x:c>
      <x:c r="G192" s="28"/>
      <x:c r="H192" s="28"/>
      <x:c r="I192" s="28" t="n">
        <x:v>178.62</x:v>
      </x:c>
      <x:c r="J192" s="28" t="n">
        <x:f t="shared" si="28"/>
        <x:v>53.59</x:v>
      </x:c>
      <x:c r="K192" s="28" t="n">
        <x:f t="shared" si="5">(J192+H192)*A192</x:f>
        <x:v>0</x:v>
      </x:c>
      <x:c r="L192" s="28" t="n">
        <x:f t="shared" ref="L192:L194" si="44">D192*1.21</x:f>
        <x:v>214.3636</x:v>
      </x:c>
      <x:c r="M192" s="28" t="n">
        <x:f t="shared" si="6"/>
        <x:v>55.73</x:v>
      </x:c>
      <x:c r="N192" s="28" t="n">
        <x:f t="shared" si="7">(M192+H192)*A192</x:f>
        <x:v>0</x:v>
      </x:c>
      <x:c r="O192" s="28" t="n">
        <x:f t="shared" si="37"/>
        <x:v>214.36</x:v>
      </x:c>
      <x:c r="P192" s="28" t="n">
        <x:f t="shared" si="29"/>
        <x:v>64.31</x:v>
      </x:c>
      <x:c r="Q192" s="28" t="n">
        <x:f t="shared" si="9">(P192+H192)*A192</x:f>
        <x:v>0</x:v>
      </x:c>
      <x:c r="R192" s="28" t="n">
        <x:f t="shared" si="38"/>
        <x:v>214.36</x:v>
      </x:c>
      <x:c r="S192" s="28" t="n">
        <x:f t="shared" si="30"/>
        <x:v>64.31</x:v>
      </x:c>
      <x:c r="T192" s="28" t="n">
        <x:f t="shared" si="12">(S192+H192)*A192</x:f>
        <x:v>0</x:v>
      </x:c>
      <x:c r="U192" s="28" t="n">
        <x:f t="shared" si="42"/>
        <x:v>178.62</x:v>
      </x:c>
      <x:c r="V192" s="28" t="n">
        <x:f t="shared" si="31"/>
        <x:v>53.59</x:v>
      </x:c>
      <x:c r="W192" s="28" t="n">
        <x:f t="shared" si="15">(V192+H192)*A192</x:f>
        <x:v>0</x:v>
      </x:c>
      <x:c r="X192" s="28" t="n">
        <x:f t="shared" ref="X192:X194" si="45">L192*1.21</x:f>
        <x:v>259.379956</x:v>
      </x:c>
      <x:c r="Y192" s="28" t="n">
        <x:f t="shared" si="32"/>
        <x:v>77.81</x:v>
      </x:c>
      <x:c r="Z192" s="28" t="n">
        <x:f t="shared" si="17">(Y192+H192)*A192</x:f>
        <x:v>0</x:v>
      </x:c>
      <x:c r="AA192" s="28" t="n">
        <x:v>222.8</x:v>
      </x:c>
      <x:c r="AB192" s="28" t="n">
        <x:f t="shared" si="33"/>
        <x:v>66.84</x:v>
      </x:c>
      <x:c r="AC192" s="28" t="n">
        <x:f t="shared" si="19">(AB192+H192)*A192</x:f>
        <x:v>0</x:v>
      </x:c>
      <x:c r="AD192" s="28" t="n">
        <x:v>242.91</x:v>
      </x:c>
      <x:c r="AE192" s="28" t="n">
        <x:f t="shared" si="34"/>
        <x:v>72.87</x:v>
      </x:c>
      <x:c r="AF192" s="29" t="n">
        <x:f t="shared" si="21">(AE192+H192)*A192</x:f>
        <x:v>0</x:v>
      </x:c>
    </x:row>
    <x:row r="193" ht="15.75" customHeight="1">
      <x:c r="A193" s="26"/>
      <x:c r="B193" s="27" t="s">
        <x:v>382</x:v>
      </x:c>
      <x:c r="C193" s="27" t="s">
        <x:v>383</x:v>
      </x:c>
      <x:c r="D193" s="28" t="n">
        <x:v>63.45</x:v>
      </x:c>
      <x:c r="E193" s="28" t="n">
        <x:f t="shared" si="27"/>
        <x:v>19.04</x:v>
      </x:c>
      <x:c r="F193" s="28" t="n">
        <x:f t="shared" si="2">E193*A193</x:f>
        <x:v>0</x:v>
      </x:c>
      <x:c r="G193" s="28"/>
      <x:c r="H193" s="28"/>
      <x:c r="I193" s="28" t="n">
        <x:v>63.98</x:v>
      </x:c>
      <x:c r="J193" s="28" t="n">
        <x:f t="shared" si="28"/>
        <x:v>19.19</x:v>
      </x:c>
      <x:c r="K193" s="28" t="n">
        <x:f t="shared" si="5">(J193+H193)*A193</x:f>
        <x:v>0</x:v>
      </x:c>
      <x:c r="L193" s="28" t="n">
        <x:f t="shared" si="44"/>
        <x:v>76.78</x:v>
      </x:c>
      <x:c r="M193" s="28" t="n">
        <x:f t="shared" si="6"/>
        <x:v>19.96</x:v>
      </x:c>
      <x:c r="N193" s="28" t="n">
        <x:f t="shared" si="7">(M193+H193)*A193</x:f>
        <x:v>0</x:v>
      </x:c>
      <x:c r="O193" s="28" t="n">
        <x:f t="shared" si="37"/>
        <x:v>76.78</x:v>
      </x:c>
      <x:c r="P193" s="28" t="n">
        <x:f t="shared" si="29"/>
        <x:v>23.03</x:v>
      </x:c>
      <x:c r="Q193" s="28" t="n">
        <x:f t="shared" si="9">(P193+H193)*A193</x:f>
        <x:v>0</x:v>
      </x:c>
      <x:c r="R193" s="28" t="n">
        <x:f t="shared" si="38"/>
        <x:v>76.78</x:v>
      </x:c>
      <x:c r="S193" s="28" t="n">
        <x:f t="shared" si="30"/>
        <x:v>23.03</x:v>
      </x:c>
      <x:c r="T193" s="28" t="n">
        <x:f t="shared" si="12">(S193+H193)*A193</x:f>
        <x:v>0</x:v>
      </x:c>
      <x:c r="U193" s="28" t="n">
        <x:f t="shared" si="42"/>
        <x:v>63.98</x:v>
      </x:c>
      <x:c r="V193" s="28" t="n">
        <x:f t="shared" si="31"/>
        <x:v>19.19</x:v>
      </x:c>
      <x:c r="W193" s="28" t="n">
        <x:f t="shared" si="15">(V193+H193)*A193</x:f>
        <x:v>0</x:v>
      </x:c>
      <x:c r="X193" s="28" t="n">
        <x:f t="shared" si="45"/>
        <x:v>92.9</x:v>
      </x:c>
      <x:c r="Y193" s="28" t="n">
        <x:f t="shared" si="32"/>
        <x:v>27.87</x:v>
      </x:c>
      <x:c r="Z193" s="28" t="n">
        <x:f t="shared" si="17">(Y193+H193)*A193</x:f>
        <x:v>0</x:v>
      </x:c>
      <x:c r="AA193" s="28"/>
      <x:c r="AB193" s="28" t="n">
        <x:f t="shared" si="33"/>
        <x:v>0</x:v>
      </x:c>
      <x:c r="AC193" s="28" t="n">
        <x:f t="shared" si="19">(AB193+H193)*A193</x:f>
        <x:v>0</x:v>
      </x:c>
      <x:c r="AD193" s="28"/>
      <x:c r="AE193" s="28" t="n">
        <x:f t="shared" si="34"/>
        <x:v>0</x:v>
      </x:c>
      <x:c r="AF193" s="29" t="n">
        <x:f t="shared" si="21">(AE193+H193)*A193</x:f>
        <x:v>0</x:v>
      </x:c>
    </x:row>
    <x:row r="194" ht="15.75" customHeight="1">
      <x:c r="A194" s="26"/>
      <x:c r="B194" s="27" t="s">
        <x:v>384</x:v>
      </x:c>
      <x:c r="C194" s="27" t="s">
        <x:v>361</x:v>
      </x:c>
      <x:c r="D194" s="28" t="n">
        <x:v>225.25</x:v>
      </x:c>
      <x:c r="E194" s="28" t="n">
        <x:f t="shared" si="27"/>
        <x:v>67.57</x:v>
      </x:c>
      <x:c r="F194" s="28" t="n">
        <x:f t="shared" si="2">E194*A194</x:f>
        <x:v>0</x:v>
      </x:c>
      <x:c r="G194" s="28"/>
      <x:c r="H194" s="28"/>
      <x:c r="I194" s="28" t="n">
        <x:v>227.13</x:v>
      </x:c>
      <x:c r="J194" s="28" t="n">
        <x:f t="shared" si="28"/>
        <x:v>68.14</x:v>
      </x:c>
      <x:c r="K194" s="28" t="n">
        <x:f t="shared" si="5">(J194+H194)*A194</x:f>
        <x:v>0</x:v>
      </x:c>
      <x:c r="L194" s="28" t="n">
        <x:f t="shared" si="44"/>
        <x:v>272.55</x:v>
      </x:c>
      <x:c r="M194" s="28" t="n">
        <x:f t="shared" si="6"/>
        <x:v>70.86</x:v>
      </x:c>
      <x:c r="N194" s="28" t="n">
        <x:f t="shared" si="7">(M194+H194)*A194</x:f>
        <x:v>0</x:v>
      </x:c>
      <x:c r="O194" s="28" t="n">
        <x:f t="shared" si="37"/>
        <x:v>272.55</x:v>
      </x:c>
      <x:c r="P194" s="28" t="n">
        <x:f t="shared" si="29"/>
        <x:v>81.76</x:v>
      </x:c>
      <x:c r="Q194" s="28" t="n">
        <x:f t="shared" si="9">(P194+H194)*A194</x:f>
        <x:v>0</x:v>
      </x:c>
      <x:c r="R194" s="28" t="n">
        <x:f t="shared" si="38"/>
        <x:v>272.55</x:v>
      </x:c>
      <x:c r="S194" s="28" t="n">
        <x:f t="shared" si="30"/>
        <x:v>81.76</x:v>
      </x:c>
      <x:c r="T194" s="28" t="n">
        <x:f t="shared" si="12">(S194+H194)*A194</x:f>
        <x:v>0</x:v>
      </x:c>
      <x:c r="U194" s="28" t="n">
        <x:f t="shared" si="42"/>
        <x:v>227.13</x:v>
      </x:c>
      <x:c r="V194" s="28" t="n">
        <x:f t="shared" si="31"/>
        <x:v>68.14</x:v>
      </x:c>
      <x:c r="W194" s="28" t="n">
        <x:f t="shared" si="15">(V194+H194)*A194</x:f>
        <x:v>0</x:v>
      </x:c>
      <x:c r="X194" s="28" t="n">
        <x:f t="shared" si="45"/>
        <x:v>329.78</x:v>
      </x:c>
      <x:c r="Y194" s="28" t="n">
        <x:f t="shared" si="32"/>
        <x:v>98.94</x:v>
      </x:c>
      <x:c r="Z194" s="28" t="n">
        <x:f t="shared" si="17">(Y194+H194)*A194</x:f>
        <x:v>0</x:v>
      </x:c>
      <x:c r="AA194" s="28"/>
      <x:c r="AB194" s="28" t="n">
        <x:f t="shared" si="33"/>
        <x:v>0</x:v>
      </x:c>
      <x:c r="AC194" s="28" t="n">
        <x:f t="shared" si="19">(AB194+H194)*A194</x:f>
        <x:v>0</x:v>
      </x:c>
      <x:c r="AD194" s="28"/>
      <x:c r="AE194" s="28" t="n">
        <x:f t="shared" si="34"/>
        <x:v>0</x:v>
      </x:c>
      <x:c r="AF194" s="29" t="n">
        <x:f t="shared" si="21">(AE194+H194)*A194</x:f>
        <x:v>0</x:v>
      </x:c>
    </x:row>
    <x:row r="195" ht="15.75" customHeight="1">
      <x:c r="A195" s="26"/>
      <x:c r="B195" s="27" t="s">
        <x:v>385</x:v>
      </x:c>
      <x:c r="C195" s="27" t="s">
        <x:v>386</x:v>
      </x:c>
      <x:c r="D195" s="28" t="n">
        <x:v>142.09</x:v>
      </x:c>
      <x:c r="E195" s="28" t="n">
        <x:f t="shared" si="27"/>
        <x:v>42.63</x:v>
      </x:c>
      <x:c r="F195" s="28" t="n">
        <x:f t="shared" si="2">E195*A195</x:f>
        <x:v>0</x:v>
      </x:c>
      <x:c r="G195" s="28"/>
      <x:c r="H195" s="28"/>
      <x:c r="I195" s="28" t="n">
        <x:v>151.83</x:v>
      </x:c>
      <x:c r="J195" s="28" t="n">
        <x:f t="shared" si="28"/>
        <x:v>45.55</x:v>
      </x:c>
      <x:c r="K195" s="28" t="n">
        <x:f t="shared" si="5">(J195+H195)*A195</x:f>
        <x:v>0</x:v>
      </x:c>
      <x:c r="L195" s="28" t="n">
        <x:f t="shared" ref="L195:L199" si="46">D195</x:f>
        <x:v>142.09</x:v>
      </x:c>
      <x:c r="M195" s="28" t="n">
        <x:f t="shared" si="6"/>
        <x:v>36.94</x:v>
      </x:c>
      <x:c r="N195" s="28" t="n">
        <x:f t="shared" si="7">(M195+H195)*A195</x:f>
        <x:v>0</x:v>
      </x:c>
      <x:c r="O195" s="28" t="n">
        <x:f t="shared" si="37"/>
        <x:v>142.09</x:v>
      </x:c>
      <x:c r="P195" s="28" t="n">
        <x:f t="shared" si="29"/>
        <x:v>42.63</x:v>
      </x:c>
      <x:c r="Q195" s="28" t="n">
        <x:f t="shared" si="9">(P195+H195)*A195</x:f>
        <x:v>0</x:v>
      </x:c>
      <x:c r="R195" s="28" t="n">
        <x:f t="shared" si="38"/>
        <x:v>142.09</x:v>
      </x:c>
      <x:c r="S195" s="28" t="n">
        <x:f t="shared" si="30"/>
        <x:v>42.63</x:v>
      </x:c>
      <x:c r="T195" s="28" t="n">
        <x:f t="shared" si="12">(S195+H195)*A195</x:f>
        <x:v>0</x:v>
      </x:c>
      <x:c r="U195" s="28" t="n">
        <x:f t="shared" si="42"/>
        <x:v>151.83</x:v>
      </x:c>
      <x:c r="V195" s="28" t="n">
        <x:f t="shared" si="31"/>
        <x:v>45.55</x:v>
      </x:c>
      <x:c r="W195" s="28" t="n">
        <x:f t="shared" si="15">(V195+H195)*A195</x:f>
        <x:v>0</x:v>
      </x:c>
      <x:c r="X195" s="28" t="n">
        <x:v>219</x:v>
      </x:c>
      <x:c r="Y195" s="28" t="n">
        <x:f t="shared" si="32"/>
        <x:v>65.7</x:v>
      </x:c>
      <x:c r="Z195" s="28" t="n">
        <x:f t="shared" si="17">(Y195+H195)*A195</x:f>
        <x:v>0</x:v>
      </x:c>
      <x:c r="AA195" s="28" t="n">
        <x:v>143.26</x:v>
      </x:c>
      <x:c r="AB195" s="28" t="n">
        <x:f t="shared" si="33"/>
        <x:v>42.98</x:v>
      </x:c>
      <x:c r="AC195" s="28" t="n">
        <x:f t="shared" si="19">(AB195+H195)*A195</x:f>
        <x:v>0</x:v>
      </x:c>
      <x:c r="AD195" s="28" t="n">
        <x:v>156.12</x:v>
      </x:c>
      <x:c r="AE195" s="28" t="n">
        <x:f t="shared" si="34"/>
        <x:v>46.84</x:v>
      </x:c>
      <x:c r="AF195" s="29" t="n">
        <x:f t="shared" si="21">(AE195+H195)*A195</x:f>
        <x:v>0</x:v>
      </x:c>
    </x:row>
    <x:row r="196" ht="15.75" customHeight="1">
      <x:c r="A196" s="26"/>
      <x:c r="B196" s="27" t="s">
        <x:v>387</x:v>
      </x:c>
      <x:c r="C196" s="27" t="s">
        <x:v>388</x:v>
      </x:c>
      <x:c r="D196" s="28" t="n">
        <x:v>152.28</x:v>
      </x:c>
      <x:c r="E196" s="28" t="n">
        <x:f t="shared" si="27"/>
        <x:v>45.68</x:v>
      </x:c>
      <x:c r="F196" s="28" t="n">
        <x:f t="shared" si="2">E196*A196</x:f>
        <x:v>0</x:v>
      </x:c>
      <x:c r="G196" s="28"/>
      <x:c r="H196" s="28"/>
      <x:c r="I196" s="28" t="n">
        <x:v>161.39</x:v>
      </x:c>
      <x:c r="J196" s="28" t="n">
        <x:f t="shared" si="28"/>
        <x:v>48.42</x:v>
      </x:c>
      <x:c r="K196" s="28" t="n">
        <x:f t="shared" si="5">(J196+H196)*A196</x:f>
        <x:v>0</x:v>
      </x:c>
      <x:c r="L196" s="28" t="n">
        <x:f t="shared" si="46"/>
        <x:v>152.28</x:v>
      </x:c>
      <x:c r="M196" s="28" t="n">
        <x:f t="shared" si="6"/>
        <x:v>39.59</x:v>
      </x:c>
      <x:c r="N196" s="28" t="n">
        <x:f t="shared" si="7">(M196+H196)*A196</x:f>
        <x:v>0</x:v>
      </x:c>
      <x:c r="O196" s="28" t="n">
        <x:f t="shared" si="37"/>
        <x:v>152.28</x:v>
      </x:c>
      <x:c r="P196" s="28" t="n">
        <x:f t="shared" si="29"/>
        <x:v>45.68</x:v>
      </x:c>
      <x:c r="Q196" s="28" t="n">
        <x:f t="shared" si="9">(P196+H196)*A196</x:f>
        <x:v>0</x:v>
      </x:c>
      <x:c r="R196" s="28" t="n">
        <x:f t="shared" si="38"/>
        <x:v>152.28</x:v>
      </x:c>
      <x:c r="S196" s="28" t="n">
        <x:f t="shared" si="30"/>
        <x:v>45.68</x:v>
      </x:c>
      <x:c r="T196" s="28" t="n">
        <x:f t="shared" si="12">(S196+H196)*A196</x:f>
        <x:v>0</x:v>
      </x:c>
      <x:c r="U196" s="28" t="n">
        <x:f t="shared" si="42"/>
        <x:v>161.39</x:v>
      </x:c>
      <x:c r="V196" s="28" t="n">
        <x:f t="shared" si="31"/>
        <x:v>48.42</x:v>
      </x:c>
      <x:c r="W196" s="28" t="n">
        <x:f t="shared" si="15">(V196+H196)*A196</x:f>
        <x:v>0</x:v>
      </x:c>
      <x:c r="X196" s="28" t="n">
        <x:v>328.47</x:v>
      </x:c>
      <x:c r="Y196" s="28" t="n">
        <x:f t="shared" si="32"/>
        <x:v>98.54</x:v>
      </x:c>
      <x:c r="Z196" s="28" t="n">
        <x:f t="shared" si="17">(Y196+H196)*A196</x:f>
        <x:v>0</x:v>
      </x:c>
      <x:c r="AA196" s="28" t="n">
        <x:v>169.2</x:v>
      </x:c>
      <x:c r="AB196" s="28" t="n">
        <x:f t="shared" si="33"/>
        <x:v>50.76</x:v>
      </x:c>
      <x:c r="AC196" s="28" t="n">
        <x:f t="shared" si="19">(AB196+H196)*A196</x:f>
        <x:v>0</x:v>
      </x:c>
      <x:c r="AD196" s="28" t="n">
        <x:v>184.4</x:v>
      </x:c>
      <x:c r="AE196" s="28" t="n">
        <x:f t="shared" si="34"/>
        <x:v>55.32</x:v>
      </x:c>
      <x:c r="AF196" s="29" t="n">
        <x:f t="shared" si="21">(AE196+H196)*A196</x:f>
        <x:v>0</x:v>
      </x:c>
    </x:row>
    <x:row r="197" ht="15.75" customHeight="1">
      <x:c r="A197" s="26"/>
      <x:c r="B197" s="27" t="s">
        <x:v>389</x:v>
      </x:c>
      <x:c r="C197" s="27" t="s">
        <x:v>390</x:v>
      </x:c>
      <x:c r="D197" s="28" t="n">
        <x:v>61.19</x:v>
      </x:c>
      <x:c r="E197" s="28" t="n">
        <x:f t="shared" si="27"/>
        <x:v>18.36</x:v>
      </x:c>
      <x:c r="F197" s="28" t="n">
        <x:f t="shared" si="2">E197*A197</x:f>
        <x:v>0</x:v>
      </x:c>
      <x:c r="G197" s="28"/>
      <x:c r="H197" s="28"/>
      <x:c r="I197" s="28" t="n">
        <x:v>69.41</x:v>
      </x:c>
      <x:c r="J197" s="28" t="n">
        <x:f t="shared" si="28"/>
        <x:v>20.82</x:v>
      </x:c>
      <x:c r="K197" s="28" t="n">
        <x:f t="shared" si="5">(J197+H197)*A197</x:f>
        <x:v>0</x:v>
      </x:c>
      <x:c r="L197" s="28" t="n">
        <x:f t="shared" si="46"/>
        <x:v>61.19</x:v>
      </x:c>
      <x:c r="M197" s="28" t="n">
        <x:f t="shared" si="6"/>
        <x:v>15.91</x:v>
      </x:c>
      <x:c r="N197" s="28" t="n">
        <x:f t="shared" si="7">(M197+H197)*A197</x:f>
        <x:v>0</x:v>
      </x:c>
      <x:c r="O197" s="28" t="n">
        <x:f t="shared" si="37"/>
        <x:v>61.19</x:v>
      </x:c>
      <x:c r="P197" s="28" t="n">
        <x:f t="shared" si="29"/>
        <x:v>18.36</x:v>
      </x:c>
      <x:c r="Q197" s="28" t="n">
        <x:f t="shared" si="9">(P197+H197)*A197</x:f>
        <x:v>0</x:v>
      </x:c>
      <x:c r="R197" s="28" t="n">
        <x:f t="shared" si="38"/>
        <x:v>61.19</x:v>
      </x:c>
      <x:c r="S197" s="28" t="n">
        <x:f t="shared" si="30"/>
        <x:v>18.36</x:v>
      </x:c>
      <x:c r="T197" s="28" t="n">
        <x:f t="shared" si="12">(S197+H197)*A197</x:f>
        <x:v>0</x:v>
      </x:c>
      <x:c r="U197" s="28" t="n">
        <x:f t="shared" si="42"/>
        <x:v>69.41</x:v>
      </x:c>
      <x:c r="V197" s="28" t="n">
        <x:f t="shared" si="31"/>
        <x:v>20.82</x:v>
      </x:c>
      <x:c r="W197" s="28" t="n">
        <x:f t="shared" si="15">(V197+H197)*A197</x:f>
        <x:v>0</x:v>
      </x:c>
      <x:c r="X197" s="28" t="n">
        <x:v>86.33</x:v>
      </x:c>
      <x:c r="Y197" s="28" t="n">
        <x:f t="shared" si="32"/>
        <x:v>25.9</x:v>
      </x:c>
      <x:c r="Z197" s="28" t="n">
        <x:f t="shared" si="17">(Y197+H197)*A197</x:f>
        <x:v>0</x:v>
      </x:c>
      <x:c r="AA197" s="28" t="n">
        <x:v>65.54</x:v>
      </x:c>
      <x:c r="AB197" s="28" t="n">
        <x:f t="shared" si="33"/>
        <x:v>19.66</x:v>
      </x:c>
      <x:c r="AC197" s="28" t="n">
        <x:f t="shared" si="19">(AB197+H197)*A197</x:f>
        <x:v>0</x:v>
      </x:c>
      <x:c r="AD197" s="28" t="n">
        <x:v>71.5</x:v>
      </x:c>
      <x:c r="AE197" s="28" t="n">
        <x:f t="shared" si="34"/>
        <x:v>21.45</x:v>
      </x:c>
      <x:c r="AF197" s="29" t="n">
        <x:f t="shared" si="21">(AE197+H197)*A197</x:f>
        <x:v>0</x:v>
      </x:c>
    </x:row>
    <x:row r="198" ht="15.75" customHeight="1">
      <x:c r="A198" s="26"/>
      <x:c r="B198" s="27" t="s">
        <x:v>391</x:v>
      </x:c>
      <x:c r="C198" s="27" t="s">
        <x:v>392</x:v>
      </x:c>
      <x:c r="D198" s="28" t="n">
        <x:v>44.63</x:v>
      </x:c>
      <x:c r="E198" s="28" t="n">
        <x:f t="shared" si="27"/>
        <x:v>13.39</x:v>
      </x:c>
      <x:c r="F198" s="28" t="n">
        <x:f t="shared" si="2">E198*A198</x:f>
        <x:v>0</x:v>
      </x:c>
      <x:c r="G198" s="28"/>
      <x:c r="H198" s="28"/>
      <x:c r="I198" s="28" t="n">
        <x:v>54.73</x:v>
      </x:c>
      <x:c r="J198" s="28" t="n">
        <x:f t="shared" si="28"/>
        <x:v>16.42</x:v>
      </x:c>
      <x:c r="K198" s="28" t="n">
        <x:f t="shared" si="5">(J198+H198)*A198</x:f>
        <x:v>0</x:v>
      </x:c>
      <x:c r="L198" s="28" t="n">
        <x:f t="shared" si="46"/>
        <x:v>44.63</x:v>
      </x:c>
      <x:c r="M198" s="28" t="n">
        <x:f t="shared" si="6"/>
        <x:v>11.6</x:v>
      </x:c>
      <x:c r="N198" s="28" t="n">
        <x:f t="shared" si="7">(M198+H198)*A198</x:f>
        <x:v>0</x:v>
      </x:c>
      <x:c r="O198" s="28" t="n">
        <x:f t="shared" si="37"/>
        <x:v>44.63</x:v>
      </x:c>
      <x:c r="P198" s="28" t="n">
        <x:f t="shared" si="29"/>
        <x:v>13.39</x:v>
      </x:c>
      <x:c r="Q198" s="28" t="n">
        <x:f t="shared" si="9">(P198+H198)*A198</x:f>
        <x:v>0</x:v>
      </x:c>
      <x:c r="R198" s="28" t="n">
        <x:f t="shared" si="38"/>
        <x:v>44.63</x:v>
      </x:c>
      <x:c r="S198" s="28" t="n">
        <x:f t="shared" si="30"/>
        <x:v>13.39</x:v>
      </x:c>
      <x:c r="T198" s="28" t="n">
        <x:f t="shared" si="12">(S198+H198)*A198</x:f>
        <x:v>0</x:v>
      </x:c>
      <x:c r="U198" s="28" t="n">
        <x:f t="shared" si="42"/>
        <x:v>54.73</x:v>
      </x:c>
      <x:c r="V198" s="28" t="n">
        <x:f t="shared" si="31"/>
        <x:v>16.42</x:v>
      </x:c>
      <x:c r="W198" s="28" t="n">
        <x:f t="shared" si="15">(V198+H198)*A198</x:f>
        <x:v>0</x:v>
      </x:c>
      <x:c r="X198" s="28" t="n">
        <x:v>62.96</x:v>
      </x:c>
      <x:c r="Y198" s="28" t="n">
        <x:f t="shared" si="32"/>
        <x:v>18.89</x:v>
      </x:c>
      <x:c r="Z198" s="28" t="n">
        <x:f t="shared" si="17">(Y198+H198)*A198</x:f>
        <x:v>0</x:v>
      </x:c>
      <x:c r="AA198" s="28" t="n">
        <x:v>49.6</x:v>
      </x:c>
      <x:c r="AB198" s="28" t="n">
        <x:f t="shared" si="33"/>
        <x:v>14.88</x:v>
      </x:c>
      <x:c r="AC198" s="28" t="n">
        <x:f t="shared" si="19">(AB198+H198)*A198</x:f>
        <x:v>0</x:v>
      </x:c>
      <x:c r="AD198" s="28" t="n">
        <x:v>58.88</x:v>
      </x:c>
      <x:c r="AE198" s="28" t="n">
        <x:f t="shared" si="34"/>
        <x:v>17.67</x:v>
      </x:c>
      <x:c r="AF198" s="29" t="n">
        <x:f t="shared" si="21">(AE198+H198)*A198</x:f>
        <x:v>0</x:v>
      </x:c>
    </x:row>
    <x:row r="199" ht="15.75" customHeight="1">
      <x:c r="A199" s="26"/>
      <x:c r="B199" s="27" t="s">
        <x:v>393</x:v>
      </x:c>
      <x:c r="C199" s="27" t="s">
        <x:v>394</x:v>
      </x:c>
      <x:c r="D199" s="28" t="n">
        <x:v>28.84</x:v>
      </x:c>
      <x:c r="E199" s="28" t="n">
        <x:f t="shared" si="27"/>
        <x:v>8.65</x:v>
      </x:c>
      <x:c r="F199" s="28" t="n">
        <x:f t="shared" si="2">E199*A199</x:f>
        <x:v>0</x:v>
      </x:c>
      <x:c r="G199" s="28"/>
      <x:c r="H199" s="28"/>
      <x:c r="I199" s="28" t="n">
        <x:v>53.34</x:v>
      </x:c>
      <x:c r="J199" s="28" t="n">
        <x:f t="shared" si="28"/>
        <x:v>16</x:v>
      </x:c>
      <x:c r="K199" s="28" t="n">
        <x:f t="shared" si="5">(J199+H199)*A199</x:f>
        <x:v>0</x:v>
      </x:c>
      <x:c r="L199" s="28" t="n">
        <x:f t="shared" si="46"/>
        <x:v>28.84</x:v>
      </x:c>
      <x:c r="M199" s="28" t="n">
        <x:f t="shared" si="6"/>
        <x:v>7.5</x:v>
      </x:c>
      <x:c r="N199" s="28" t="n">
        <x:f t="shared" si="7">(M199+H199)*A199</x:f>
        <x:v>0</x:v>
      </x:c>
      <x:c r="O199" s="28" t="n">
        <x:f t="shared" si="37"/>
        <x:v>28.84</x:v>
      </x:c>
      <x:c r="P199" s="28" t="n">
        <x:f t="shared" si="29"/>
        <x:v>8.65</x:v>
      </x:c>
      <x:c r="Q199" s="28" t="n">
        <x:f t="shared" si="9">(P199+H199)*A199</x:f>
        <x:v>0</x:v>
      </x:c>
      <x:c r="R199" s="28" t="n">
        <x:f t="shared" si="38"/>
        <x:v>28.84</x:v>
      </x:c>
      <x:c r="S199" s="28" t="n">
        <x:f t="shared" si="30"/>
        <x:v>8.65</x:v>
      </x:c>
      <x:c r="T199" s="28" t="n">
        <x:f t="shared" si="12">(S199+H199)*A199</x:f>
        <x:v>0</x:v>
      </x:c>
      <x:c r="U199" s="28" t="n">
        <x:f t="shared" si="42"/>
        <x:v>53.34</x:v>
      </x:c>
      <x:c r="V199" s="28" t="n">
        <x:f t="shared" si="31"/>
        <x:v>16</x:v>
      </x:c>
      <x:c r="W199" s="28" t="n">
        <x:f t="shared" si="15">(V199+H199)*A199</x:f>
        <x:v>0</x:v>
      </x:c>
      <x:c r="X199" s="28" t="n">
        <x:v>62.96</x:v>
      </x:c>
      <x:c r="Y199" s="28" t="n">
        <x:f t="shared" si="32"/>
        <x:v>18.89</x:v>
      </x:c>
      <x:c r="Z199" s="28" t="n">
        <x:f t="shared" si="17">(Y199+H199)*A199</x:f>
        <x:v>0</x:v>
      </x:c>
      <x:c r="AA199" s="28" t="n">
        <x:v>48.77</x:v>
      </x:c>
      <x:c r="AB199" s="28" t="n">
        <x:f t="shared" si="33"/>
        <x:v>14.63</x:v>
      </x:c>
      <x:c r="AC199" s="28" t="n">
        <x:f t="shared" si="19">(AB199+H199)*A199</x:f>
        <x:v>0</x:v>
      </x:c>
      <x:c r="AD199" s="28" t="n">
        <x:v>57.08</x:v>
      </x:c>
      <x:c r="AE199" s="28" t="n">
        <x:f t="shared" si="34"/>
        <x:v>17.12</x:v>
      </x:c>
      <x:c r="AF199" s="29" t="n">
        <x:f t="shared" si="21">(AE199+H199)*A199</x:f>
        <x:v>0</x:v>
      </x:c>
    </x:row>
    <x:row r="200" ht="15.75" customHeight="1">
      <x:c r="A200" s="26"/>
      <x:c r="B200" s="27" t="s">
        <x:v>395</x:v>
      </x:c>
      <x:c r="C200" s="27" t="s">
        <x:v>396</x:v>
      </x:c>
      <x:c r="D200" s="28" t="n">
        <x:v>95.57</x:v>
      </x:c>
      <x:c r="E200" s="28" t="n">
        <x:f t="shared" si="27"/>
        <x:v>28.67</x:v>
      </x:c>
      <x:c r="F200" s="28" t="n">
        <x:f t="shared" si="2">E200*A200</x:f>
        <x:v>0</x:v>
      </x:c>
      <x:c r="G200" s="28"/>
      <x:c r="H200" s="28"/>
      <x:c r="I200" s="28"/>
      <x:c r="J200" s="28"/>
      <x:c r="K200" s="28" t="n">
        <x:f t="shared" si="5">(J200+H200)*A200</x:f>
        <x:v>0</x:v>
      </x:c>
      <x:c r="L200" s="28"/>
      <x:c r="M200" s="28"/>
      <x:c r="N200" s="28" t="n">
        <x:f t="shared" si="7">(M200+H200)*A200</x:f>
        <x:v>0</x:v>
      </x:c>
      <x:c r="O200" s="28"/>
      <x:c r="P200" s="28"/>
      <x:c r="Q200" s="28" t="n">
        <x:f t="shared" si="9">(P200+H200)*A200</x:f>
        <x:v>0</x:v>
      </x:c>
      <x:c r="R200" s="28"/>
      <x:c r="S200" s="28"/>
      <x:c r="T200" s="28" t="n">
        <x:f t="shared" si="12">(S200+H200)*A200</x:f>
        <x:v>0</x:v>
      </x:c>
      <x:c r="U200" s="28"/>
      <x:c r="V200" s="28"/>
      <x:c r="W200" s="28" t="n">
        <x:f t="shared" si="15">(V200+H200)*A200</x:f>
        <x:v>0</x:v>
      </x:c>
      <x:c r="X200" s="28"/>
      <x:c r="Y200" s="28"/>
      <x:c r="Z200" s="28" t="n">
        <x:f t="shared" si="17">(Y200+H200)*A200</x:f>
        <x:v>0</x:v>
      </x:c>
      <x:c r="AA200" s="28"/>
      <x:c r="AB200" s="28"/>
      <x:c r="AC200" s="28" t="n">
        <x:f t="shared" si="19">(AB200+H200)*A200</x:f>
        <x:v>0</x:v>
      </x:c>
      <x:c r="AD200" s="28"/>
      <x:c r="AE200" s="28" t="n">
        <x:f t="shared" si="34"/>
        <x:v>0</x:v>
      </x:c>
      <x:c r="AF200" s="29" t="n">
        <x:f t="shared" si="21">(AE200+H200)*A200</x:f>
        <x:v>0</x:v>
      </x:c>
    </x:row>
    <x:row r="201" ht="15.75" customHeight="1">
      <x:c r="A201" s="26"/>
      <x:c r="B201" s="27" t="s">
        <x:v>397</x:v>
      </x:c>
      <x:c r="C201" s="27" t="s">
        <x:v>398</x:v>
      </x:c>
      <x:c r="D201" s="28" t="n">
        <x:v>105.06</x:v>
      </x:c>
      <x:c r="E201" s="28" t="n">
        <x:f t="shared" si="27"/>
        <x:v>31.52</x:v>
      </x:c>
      <x:c r="F201" s="28" t="n">
        <x:f t="shared" si="2">E201*A201</x:f>
        <x:v>0</x:v>
      </x:c>
      <x:c r="G201" s="28"/>
      <x:c r="H201" s="28"/>
      <x:c r="I201" s="28"/>
      <x:c r="J201" s="28"/>
      <x:c r="K201" s="28" t="n">
        <x:f t="shared" si="5">(J201+H201)*A201</x:f>
        <x:v>0</x:v>
      </x:c>
      <x:c r="L201" s="28"/>
      <x:c r="M201" s="28"/>
      <x:c r="N201" s="28" t="n">
        <x:f t="shared" si="7">(M201+H201)*A201</x:f>
        <x:v>0</x:v>
      </x:c>
      <x:c r="O201" s="28"/>
      <x:c r="P201" s="28"/>
      <x:c r="Q201" s="28" t="n">
        <x:f t="shared" si="9">(P201+H201)*A201</x:f>
        <x:v>0</x:v>
      </x:c>
      <x:c r="R201" s="28"/>
      <x:c r="S201" s="28"/>
      <x:c r="T201" s="28" t="n">
        <x:f t="shared" si="12">(S201+H201)*A201</x:f>
        <x:v>0</x:v>
      </x:c>
      <x:c r="U201" s="28"/>
      <x:c r="V201" s="28"/>
      <x:c r="W201" s="28" t="n">
        <x:f t="shared" si="15">(V201+H201)*A201</x:f>
        <x:v>0</x:v>
      </x:c>
      <x:c r="X201" s="28"/>
      <x:c r="Y201" s="28"/>
      <x:c r="Z201" s="28" t="n">
        <x:f t="shared" si="17">(Y201+H201)*A201</x:f>
        <x:v>0</x:v>
      </x:c>
      <x:c r="AA201" s="28"/>
      <x:c r="AB201" s="28"/>
      <x:c r="AC201" s="28" t="n">
        <x:f t="shared" si="19">(AB201+H201)*A201</x:f>
        <x:v>0</x:v>
      </x:c>
      <x:c r="AD201" s="28"/>
      <x:c r="AE201" s="28" t="n">
        <x:f t="shared" si="34"/>
        <x:v>0</x:v>
      </x:c>
      <x:c r="AF201" s="29" t="n">
        <x:f t="shared" si="21">(AE201+H201)*A201</x:f>
        <x:v>0</x:v>
      </x:c>
    </x:row>
    <x:row r="202" ht="15.75" customHeight="1">
      <x:c r="A202" s="26"/>
      <x:c r="B202" s="27" t="s">
        <x:v>399</x:v>
      </x:c>
      <x:c r="C202" s="27" t="s">
        <x:v>400</x:v>
      </x:c>
      <x:c r="D202" s="28" t="n">
        <x:v>108.46</x:v>
      </x:c>
      <x:c r="E202" s="28" t="n">
        <x:f t="shared" si="27"/>
        <x:v>32.54</x:v>
      </x:c>
      <x:c r="F202" s="28" t="n">
        <x:f t="shared" si="2">E202*A202</x:f>
        <x:v>0</x:v>
      </x:c>
      <x:c r="G202" s="28"/>
      <x:c r="H202" s="28"/>
      <x:c r="I202" s="28"/>
      <x:c r="J202" s="28"/>
      <x:c r="K202" s="28" t="n">
        <x:f t="shared" si="5">(J202+H202)*A202</x:f>
        <x:v>0</x:v>
      </x:c>
      <x:c r="L202" s="28"/>
      <x:c r="M202" s="28"/>
      <x:c r="N202" s="28" t="n">
        <x:f t="shared" si="7">(M202+H202)*A202</x:f>
        <x:v>0</x:v>
      </x:c>
      <x:c r="O202" s="28"/>
      <x:c r="P202" s="28"/>
      <x:c r="Q202" s="28" t="n">
        <x:f t="shared" si="9">(P202+H202)*A202</x:f>
        <x:v>0</x:v>
      </x:c>
      <x:c r="R202" s="28"/>
      <x:c r="S202" s="28"/>
      <x:c r="T202" s="28" t="n">
        <x:f t="shared" si="12">(S202+H202)*A202</x:f>
        <x:v>0</x:v>
      </x:c>
      <x:c r="U202" s="28"/>
      <x:c r="V202" s="28"/>
      <x:c r="W202" s="28" t="n">
        <x:f t="shared" si="15">(V202+H202)*A202</x:f>
        <x:v>0</x:v>
      </x:c>
      <x:c r="X202" s="28"/>
      <x:c r="Y202" s="28"/>
      <x:c r="Z202" s="28" t="n">
        <x:f t="shared" si="17">(Y202+H202)*A202</x:f>
        <x:v>0</x:v>
      </x:c>
      <x:c r="AA202" s="28"/>
      <x:c r="AB202" s="28"/>
      <x:c r="AC202" s="28" t="n">
        <x:f t="shared" si="19">(AB202+H202)*A202</x:f>
        <x:v>0</x:v>
      </x:c>
      <x:c r="AD202" s="28"/>
      <x:c r="AE202" s="28" t="n">
        <x:f t="shared" si="34"/>
        <x:v>0</x:v>
      </x:c>
      <x:c r="AF202" s="29" t="n">
        <x:f t="shared" si="21">(AE202+H202)*A202</x:f>
        <x:v>0</x:v>
      </x:c>
    </x:row>
    <x:row r="203" ht="15.75" customHeight="1">
      <x:c r="A203" s="26"/>
      <x:c r="B203" s="27" t="s">
        <x:v>401</x:v>
      </x:c>
      <x:c r="C203" s="27" t="s">
        <x:v>402</x:v>
      </x:c>
      <x:c r="D203" s="28" t="n">
        <x:v>111.76</x:v>
      </x:c>
      <x:c r="E203" s="28" t="n">
        <x:f t="shared" si="27"/>
        <x:v>33.53</x:v>
      </x:c>
      <x:c r="F203" s="28" t="n">
        <x:f t="shared" si="2">E203*A203</x:f>
        <x:v>0</x:v>
      </x:c>
      <x:c r="G203" s="28"/>
      <x:c r="H203" s="28"/>
      <x:c r="I203" s="28"/>
      <x:c r="J203" s="28"/>
      <x:c r="K203" s="28" t="n">
        <x:f t="shared" si="5">(J203+H203)*A203</x:f>
        <x:v>0</x:v>
      </x:c>
      <x:c r="L203" s="28"/>
      <x:c r="M203" s="28"/>
      <x:c r="N203" s="28" t="n">
        <x:f t="shared" si="7">(M203+H203)*A203</x:f>
        <x:v>0</x:v>
      </x:c>
      <x:c r="O203" s="28"/>
      <x:c r="P203" s="28"/>
      <x:c r="Q203" s="28" t="n">
        <x:f t="shared" si="9">(P203+H203)*A203</x:f>
        <x:v>0</x:v>
      </x:c>
      <x:c r="R203" s="28"/>
      <x:c r="S203" s="28"/>
      <x:c r="T203" s="28" t="n">
        <x:f t="shared" si="12">(S203+H203)*A203</x:f>
        <x:v>0</x:v>
      </x:c>
      <x:c r="U203" s="28"/>
      <x:c r="V203" s="28"/>
      <x:c r="W203" s="28" t="n">
        <x:f t="shared" si="15">(V203+H203)*A203</x:f>
        <x:v>0</x:v>
      </x:c>
      <x:c r="X203" s="28"/>
      <x:c r="Y203" s="28"/>
      <x:c r="Z203" s="28" t="n">
        <x:f t="shared" si="17">(Y203+H203)*A203</x:f>
        <x:v>0</x:v>
      </x:c>
      <x:c r="AA203" s="28"/>
      <x:c r="AB203" s="28"/>
      <x:c r="AC203" s="28" t="n">
        <x:f t="shared" si="19">(AB203+H203)*A203</x:f>
        <x:v>0</x:v>
      </x:c>
      <x:c r="AD203" s="28"/>
      <x:c r="AE203" s="28" t="n">
        <x:f t="shared" si="34"/>
        <x:v>0</x:v>
      </x:c>
      <x:c r="AF203" s="29" t="n">
        <x:f t="shared" si="21">(AE203+H203)*A203</x:f>
        <x:v>0</x:v>
      </x:c>
    </x:row>
    <x:row r="204" ht="15.75" customHeight="1">
      <x:c r="A204" s="26"/>
      <x:c r="B204" s="27" t="s">
        <x:v>403</x:v>
      </x:c>
      <x:c r="C204" s="27" t="s">
        <x:v>404</x:v>
      </x:c>
      <x:c r="D204" s="28" t="n">
        <x:v>116.36</x:v>
      </x:c>
      <x:c r="E204" s="28" t="n">
        <x:f t="shared" si="27"/>
        <x:v>34.91</x:v>
      </x:c>
      <x:c r="F204" s="28" t="n">
        <x:f t="shared" si="2">E204*A204</x:f>
        <x:v>0</x:v>
      </x:c>
      <x:c r="G204" s="28"/>
      <x:c r="H204" s="28"/>
      <x:c r="I204" s="28"/>
      <x:c r="J204" s="28"/>
      <x:c r="K204" s="28" t="n">
        <x:f t="shared" si="5">(J204+H204)*A204</x:f>
        <x:v>0</x:v>
      </x:c>
      <x:c r="L204" s="28"/>
      <x:c r="M204" s="28"/>
      <x:c r="N204" s="28" t="n">
        <x:f t="shared" si="7">(M204+H204)*A204</x:f>
        <x:v>0</x:v>
      </x:c>
      <x:c r="O204" s="28"/>
      <x:c r="P204" s="28"/>
      <x:c r="Q204" s="28" t="n">
        <x:f t="shared" si="9">(P204+H204)*A204</x:f>
        <x:v>0</x:v>
      </x:c>
      <x:c r="R204" s="28"/>
      <x:c r="S204" s="28"/>
      <x:c r="T204" s="28" t="n">
        <x:f t="shared" si="12">(S204+H204)*A204</x:f>
        <x:v>0</x:v>
      </x:c>
      <x:c r="U204" s="28"/>
      <x:c r="V204" s="28"/>
      <x:c r="W204" s="28" t="n">
        <x:f t="shared" si="15">(V204+H204)*A204</x:f>
        <x:v>0</x:v>
      </x:c>
      <x:c r="X204" s="28"/>
      <x:c r="Y204" s="28"/>
      <x:c r="Z204" s="28" t="n">
        <x:f t="shared" si="17">(Y204+H204)*A204</x:f>
        <x:v>0</x:v>
      </x:c>
      <x:c r="AA204" s="28"/>
      <x:c r="AB204" s="28"/>
      <x:c r="AC204" s="28" t="n">
        <x:f t="shared" si="19">(AB204+H204)*A204</x:f>
        <x:v>0</x:v>
      </x:c>
      <x:c r="AD204" s="28"/>
      <x:c r="AE204" s="28" t="n">
        <x:f t="shared" si="34"/>
        <x:v>0</x:v>
      </x:c>
      <x:c r="AF204" s="29" t="n">
        <x:f t="shared" si="21">(AE204+H204)*A204</x:f>
        <x:v>0</x:v>
      </x:c>
    </x:row>
    <x:row r="205" ht="15.75" customHeight="1">
      <x:c r="A205" s="26"/>
      <x:c r="B205" s="27" t="s">
        <x:v>405</x:v>
      </x:c>
      <x:c r="C205" s="27" t="s">
        <x:v>406</x:v>
      </x:c>
      <x:c r="D205" s="28" t="n">
        <x:v>121.32</x:v>
      </x:c>
      <x:c r="E205" s="28" t="n">
        <x:f t="shared" si="27"/>
        <x:v>36.4</x:v>
      </x:c>
      <x:c r="F205" s="28" t="n">
        <x:f t="shared" si="2">E205*A205</x:f>
        <x:v>0</x:v>
      </x:c>
      <x:c r="G205" s="28"/>
      <x:c r="H205" s="28"/>
      <x:c r="I205" s="28"/>
      <x:c r="J205" s="28"/>
      <x:c r="K205" s="28" t="n">
        <x:f t="shared" si="5">(J205+H205)*A205</x:f>
        <x:v>0</x:v>
      </x:c>
      <x:c r="L205" s="28"/>
      <x:c r="M205" s="28"/>
      <x:c r="N205" s="28" t="n">
        <x:f t="shared" si="7">(M205+H205)*A205</x:f>
        <x:v>0</x:v>
      </x:c>
      <x:c r="O205" s="28"/>
      <x:c r="P205" s="28"/>
      <x:c r="Q205" s="28" t="n">
        <x:f t="shared" si="9">(P205+H205)*A205</x:f>
        <x:v>0</x:v>
      </x:c>
      <x:c r="R205" s="28"/>
      <x:c r="S205" s="28"/>
      <x:c r="T205" s="28" t="n">
        <x:f t="shared" si="12">(S205+H205)*A205</x:f>
        <x:v>0</x:v>
      </x:c>
      <x:c r="U205" s="28"/>
      <x:c r="V205" s="28"/>
      <x:c r="W205" s="28" t="n">
        <x:f t="shared" si="15">(V205+H205)*A205</x:f>
        <x:v>0</x:v>
      </x:c>
      <x:c r="X205" s="28"/>
      <x:c r="Y205" s="28"/>
      <x:c r="Z205" s="28" t="n">
        <x:f t="shared" si="17">(Y205+H205)*A205</x:f>
        <x:v>0</x:v>
      </x:c>
      <x:c r="AA205" s="28"/>
      <x:c r="AB205" s="28"/>
      <x:c r="AC205" s="28" t="n">
        <x:f t="shared" si="19">(AB205+H205)*A205</x:f>
        <x:v>0</x:v>
      </x:c>
      <x:c r="AD205" s="28"/>
      <x:c r="AE205" s="28" t="n">
        <x:f t="shared" si="34"/>
        <x:v>0</x:v>
      </x:c>
      <x:c r="AF205" s="29" t="n">
        <x:f t="shared" si="21">(AE205+H205)*A205</x:f>
        <x:v>0</x:v>
      </x:c>
    </x:row>
    <x:row r="206" ht="15.75" customHeight="1">
      <x:c r="A206" s="26"/>
      <x:c r="B206" s="27" t="s">
        <x:v>407</x:v>
      </x:c>
      <x:c r="C206" s="27" t="s">
        <x:v>408</x:v>
      </x:c>
      <x:c r="D206" s="28" t="n">
        <x:v>126.72</x:v>
      </x:c>
      <x:c r="E206" s="28" t="n">
        <x:f t="shared" si="27"/>
        <x:v>38.02</x:v>
      </x:c>
      <x:c r="F206" s="28" t="n">
        <x:f t="shared" si="2">E206*A206</x:f>
        <x:v>0</x:v>
      </x:c>
      <x:c r="G206" s="28"/>
      <x:c r="H206" s="28"/>
      <x:c r="I206" s="28"/>
      <x:c r="J206" s="28"/>
      <x:c r="K206" s="28" t="n">
        <x:f t="shared" si="5">(J206+H206)*A206</x:f>
        <x:v>0</x:v>
      </x:c>
      <x:c r="L206" s="28"/>
      <x:c r="M206" s="28"/>
      <x:c r="N206" s="28" t="n">
        <x:f t="shared" si="7">(M206+H206)*A206</x:f>
        <x:v>0</x:v>
      </x:c>
      <x:c r="O206" s="28"/>
      <x:c r="P206" s="28"/>
      <x:c r="Q206" s="28" t="n">
        <x:f t="shared" si="9">(P206+H206)*A206</x:f>
        <x:v>0</x:v>
      </x:c>
      <x:c r="R206" s="28"/>
      <x:c r="S206" s="28"/>
      <x:c r="T206" s="28" t="n">
        <x:f t="shared" si="12">(S206+H206)*A206</x:f>
        <x:v>0</x:v>
      </x:c>
      <x:c r="U206" s="28"/>
      <x:c r="V206" s="28"/>
      <x:c r="W206" s="28" t="n">
        <x:f t="shared" si="15">(V206+H206)*A206</x:f>
        <x:v>0</x:v>
      </x:c>
      <x:c r="X206" s="28"/>
      <x:c r="Y206" s="28"/>
      <x:c r="Z206" s="28" t="n">
        <x:f t="shared" si="17">(Y206+H206)*A206</x:f>
        <x:v>0</x:v>
      </x:c>
      <x:c r="AA206" s="28"/>
      <x:c r="AB206" s="28"/>
      <x:c r="AC206" s="28" t="n">
        <x:f t="shared" si="19">(AB206+H206)*A206</x:f>
        <x:v>0</x:v>
      </x:c>
      <x:c r="AD206" s="28"/>
      <x:c r="AE206" s="28" t="n">
        <x:f t="shared" si="34"/>
        <x:v>0</x:v>
      </x:c>
      <x:c r="AF206" s="29" t="n">
        <x:f t="shared" si="21">(AE206+H206)*A206</x:f>
        <x:v>0</x:v>
      </x:c>
    </x:row>
    <x:row r="207" ht="15.75" customHeight="1">
      <x:c r="A207" s="26"/>
      <x:c r="B207" s="27" t="s">
        <x:v>409</x:v>
      </x:c>
      <x:c r="C207" s="27" t="s">
        <x:v>410</x:v>
      </x:c>
      <x:c r="D207" s="28" t="n">
        <x:v>132.54</x:v>
      </x:c>
      <x:c r="E207" s="28" t="n">
        <x:f t="shared" si="27"/>
        <x:v>39.76</x:v>
      </x:c>
      <x:c r="F207" s="28" t="n">
        <x:f t="shared" si="2">E207*A207</x:f>
        <x:v>0</x:v>
      </x:c>
      <x:c r="G207" s="28"/>
      <x:c r="H207" s="28"/>
      <x:c r="I207" s="28"/>
      <x:c r="J207" s="28"/>
      <x:c r="K207" s="28" t="n">
        <x:f t="shared" si="5">(J207+H207)*A207</x:f>
        <x:v>0</x:v>
      </x:c>
      <x:c r="L207" s="28"/>
      <x:c r="M207" s="28"/>
      <x:c r="N207" s="28" t="n">
        <x:f t="shared" si="7">(M207+H207)*A207</x:f>
        <x:v>0</x:v>
      </x:c>
      <x:c r="O207" s="28"/>
      <x:c r="P207" s="28"/>
      <x:c r="Q207" s="28" t="n">
        <x:f t="shared" si="9">(P207+H207)*A207</x:f>
        <x:v>0</x:v>
      </x:c>
      <x:c r="R207" s="28"/>
      <x:c r="S207" s="28"/>
      <x:c r="T207" s="28" t="n">
        <x:f t="shared" si="12">(S207+H207)*A207</x:f>
        <x:v>0</x:v>
      </x:c>
      <x:c r="U207" s="28"/>
      <x:c r="V207" s="28"/>
      <x:c r="W207" s="28" t="n">
        <x:f t="shared" si="15">(V207+H207)*A207</x:f>
        <x:v>0</x:v>
      </x:c>
      <x:c r="X207" s="28"/>
      <x:c r="Y207" s="28"/>
      <x:c r="Z207" s="28" t="n">
        <x:f t="shared" si="17">(Y207+H207)*A207</x:f>
        <x:v>0</x:v>
      </x:c>
      <x:c r="AA207" s="28"/>
      <x:c r="AB207" s="28"/>
      <x:c r="AC207" s="28" t="n">
        <x:f t="shared" si="19">(AB207+H207)*A207</x:f>
        <x:v>0</x:v>
      </x:c>
      <x:c r="AD207" s="28"/>
      <x:c r="AE207" s="28" t="n">
        <x:f t="shared" si="34"/>
        <x:v>0</x:v>
      </x:c>
      <x:c r="AF207" s="29" t="n">
        <x:f t="shared" si="21">(AE207+H207)*A207</x:f>
        <x:v>0</x:v>
      </x:c>
    </x:row>
    <x:row r="208" ht="15.75" customHeight="1">
      <x:c r="A208" s="1"/>
      <x:c r="B208" s="37"/>
      <x:c r="C208" s="38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1"/>
      <x:c r="Y208" s="1"/>
      <x:c r="Z208" s="1"/>
      <x:c r="AA208" s="1"/>
      <x:c r="AB208" s="1"/>
      <x:c r="AC208" s="1"/>
      <x:c r="AD208" s="1"/>
      <x:c r="AE208" s="1"/>
      <x:c r="AF208" s="1"/>
    </x:row>
    <x:row r="209" ht="15.75" customHeight="1">
      <x:c r="A209" s="1"/>
      <x:c r="B209" s="37"/>
      <x:c r="C209" s="38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1"/>
      <x:c r="Y209" s="1"/>
      <x:c r="Z209" s="1"/>
      <x:c r="AA209" s="1"/>
      <x:c r="AB209" s="1"/>
      <x:c r="AC209" s="1"/>
      <x:c r="AD209" s="1"/>
      <x:c r="AE209" s="1"/>
      <x:c r="AF209" s="1"/>
    </x:row>
    <x:row r="210" ht="15.75" customHeight="1">
      <x:c r="A210" s="1"/>
      <x:c r="B210" s="37"/>
      <x:c r="C210" s="38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1"/>
      <x:c r="Y210" s="1"/>
      <x:c r="Z210" s="1"/>
      <x:c r="AA210" s="1"/>
      <x:c r="AB210" s="1"/>
      <x:c r="AC210" s="1"/>
      <x:c r="AD210" s="1"/>
      <x:c r="AE210" s="1"/>
      <x:c r="AF210" s="1"/>
    </x:row>
    <x:row r="211" ht="15.75" customHeight="1">
      <x:c r="A211" s="1"/>
      <x:c r="B211" s="37"/>
      <x:c r="C211" s="38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1"/>
      <x:c r="Y211" s="1"/>
      <x:c r="Z211" s="1"/>
      <x:c r="AA211" s="1"/>
      <x:c r="AB211" s="1"/>
      <x:c r="AC211" s="1"/>
      <x:c r="AD211" s="1"/>
      <x:c r="AE211" s="1"/>
      <x:c r="AF211" s="1"/>
    </x:row>
    <x:row r="212" ht="15.75" customHeight="1">
      <x:c r="A212" s="1"/>
      <x:c r="B212" s="37"/>
      <x:c r="C212" s="38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1"/>
      <x:c r="Y212" s="1"/>
      <x:c r="Z212" s="1"/>
      <x:c r="AA212" s="1"/>
      <x:c r="AB212" s="1"/>
      <x:c r="AC212" s="1"/>
      <x:c r="AD212" s="1"/>
      <x:c r="AE212" s="1"/>
      <x:c r="AF212" s="1"/>
    </x:row>
    <x:row r="213" ht="15.75" customHeight="1">
      <x:c r="A213" s="1"/>
      <x:c r="B213" s="37"/>
      <x:c r="C213" s="38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1"/>
      <x:c r="Y213" s="1"/>
      <x:c r="Z213" s="1"/>
      <x:c r="AA213" s="1"/>
      <x:c r="AB213" s="1"/>
      <x:c r="AC213" s="1"/>
      <x:c r="AD213" s="1"/>
      <x:c r="AE213" s="1"/>
      <x:c r="AF213" s="1"/>
    </x:row>
    <x:row r="214" ht="15.75" customHeight="1">
      <x:c r="A214" s="1"/>
      <x:c r="B214" s="37"/>
      <x:c r="C214" s="38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1"/>
      <x:c r="Y214" s="1"/>
      <x:c r="Z214" s="1"/>
      <x:c r="AA214" s="1"/>
      <x:c r="AB214" s="1"/>
      <x:c r="AC214" s="1"/>
      <x:c r="AD214" s="1"/>
      <x:c r="AE214" s="1"/>
      <x:c r="AF214" s="1"/>
    </x:row>
    <x:row r="215" ht="15.75" customHeight="1">
      <x:c r="A215" s="1"/>
      <x:c r="B215" s="37"/>
      <x:c r="C215" s="38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1"/>
      <x:c r="Y215" s="1"/>
      <x:c r="Z215" s="1"/>
      <x:c r="AA215" s="1"/>
      <x:c r="AB215" s="1"/>
      <x:c r="AC215" s="1"/>
      <x:c r="AD215" s="1"/>
      <x:c r="AE215" s="1"/>
      <x:c r="AF215" s="1"/>
    </x:row>
    <x:row r="216" ht="15.75" customHeight="1">
      <x:c r="A216" s="1"/>
      <x:c r="B216" s="37"/>
      <x:c r="C216" s="38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1"/>
      <x:c r="Y216" s="1"/>
      <x:c r="Z216" s="1"/>
      <x:c r="AA216" s="1"/>
      <x:c r="AB216" s="1"/>
      <x:c r="AC216" s="1"/>
      <x:c r="AD216" s="1"/>
      <x:c r="AE216" s="1"/>
      <x:c r="AF216" s="1"/>
    </x:row>
    <x:row r="217" ht="15.75" customHeight="1">
      <x:c r="A217" s="1"/>
      <x:c r="B217" s="37"/>
      <x:c r="C217" s="38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1"/>
      <x:c r="Y217" s="1"/>
      <x:c r="Z217" s="1"/>
      <x:c r="AA217" s="1"/>
      <x:c r="AB217" s="1"/>
      <x:c r="AC217" s="1"/>
      <x:c r="AD217" s="1"/>
      <x:c r="AE217" s="1"/>
      <x:c r="AF217" s="1"/>
    </x:row>
    <x:row r="218" ht="15.75" customHeight="1">
      <x:c r="A218" s="1"/>
      <x:c r="B218" s="37"/>
      <x:c r="C218" s="38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1"/>
      <x:c r="Y218" s="1"/>
      <x:c r="Z218" s="1"/>
      <x:c r="AA218" s="1"/>
      <x:c r="AB218" s="1"/>
      <x:c r="AC218" s="1"/>
      <x:c r="AD218" s="1"/>
      <x:c r="AE218" s="1"/>
      <x:c r="AF218" s="1"/>
    </x:row>
    <x:row r="219" ht="15.75" customHeight="1">
      <x:c r="A219" s="1"/>
      <x:c r="B219" s="37"/>
      <x:c r="C219" s="38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1"/>
      <x:c r="Y219" s="1"/>
      <x:c r="Z219" s="1"/>
      <x:c r="AA219" s="1"/>
      <x:c r="AB219" s="1"/>
      <x:c r="AC219" s="1"/>
      <x:c r="AD219" s="1"/>
      <x:c r="AE219" s="1"/>
      <x:c r="AF219" s="1"/>
    </x:row>
    <x:row r="220" ht="15.75" customHeight="1">
      <x:c r="A220" s="1"/>
      <x:c r="B220" s="37"/>
      <x:c r="C220" s="38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1"/>
      <x:c r="Y220" s="1"/>
      <x:c r="Z220" s="1"/>
      <x:c r="AA220" s="1"/>
      <x:c r="AB220" s="1"/>
      <x:c r="AC220" s="1"/>
      <x:c r="AD220" s="1"/>
      <x:c r="AE220" s="1"/>
      <x:c r="AF220" s="1"/>
    </x:row>
    <x:row r="221" ht="15.75" customHeight="1">
      <x:c r="A221" s="1"/>
      <x:c r="B221" s="37"/>
      <x:c r="C221" s="38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1"/>
      <x:c r="Y221" s="1"/>
      <x:c r="Z221" s="1"/>
      <x:c r="AA221" s="1"/>
      <x:c r="AB221" s="1"/>
      <x:c r="AC221" s="1"/>
      <x:c r="AD221" s="1"/>
      <x:c r="AE221" s="1"/>
      <x:c r="AF221" s="1"/>
    </x:row>
    <x:row r="222" ht="15.75" customHeight="1">
      <x:c r="A222" s="1"/>
      <x:c r="B222" s="37"/>
      <x:c r="C222" s="38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1"/>
      <x:c r="Y222" s="1"/>
      <x:c r="Z222" s="1"/>
      <x:c r="AA222" s="1"/>
      <x:c r="AB222" s="1"/>
      <x:c r="AC222" s="1"/>
      <x:c r="AD222" s="1"/>
      <x:c r="AE222" s="1"/>
      <x:c r="AF222" s="1"/>
    </x:row>
    <x:row r="223" ht="15.75" customHeight="1">
      <x:c r="A223" s="1"/>
      <x:c r="B223" s="37"/>
      <x:c r="C223" s="38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1"/>
      <x:c r="Y223" s="1"/>
      <x:c r="Z223" s="1"/>
      <x:c r="AA223" s="1"/>
      <x:c r="AB223" s="1"/>
      <x:c r="AC223" s="1"/>
      <x:c r="AD223" s="1"/>
      <x:c r="AE223" s="1"/>
      <x:c r="AF223" s="1"/>
    </x:row>
    <x:row r="224" ht="15.75" customHeight="1">
      <x:c r="A224" s="1"/>
      <x:c r="B224" s="37"/>
      <x:c r="C224" s="38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1"/>
      <x:c r="Y224" s="1"/>
      <x:c r="Z224" s="1"/>
      <x:c r="AA224" s="1"/>
      <x:c r="AB224" s="1"/>
      <x:c r="AC224" s="1"/>
      <x:c r="AD224" s="1"/>
      <x:c r="AE224" s="1"/>
      <x:c r="AF224" s="1"/>
    </x:row>
    <x:row r="225" ht="15.75" customHeight="1">
      <x:c r="A225" s="1"/>
      <x:c r="B225" s="37"/>
      <x:c r="C225" s="38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1"/>
      <x:c r="Y225" s="1"/>
      <x:c r="Z225" s="1"/>
      <x:c r="AA225" s="1"/>
      <x:c r="AB225" s="1"/>
      <x:c r="AC225" s="1"/>
      <x:c r="AD225" s="1"/>
      <x:c r="AE225" s="1"/>
      <x:c r="AF225" s="1"/>
    </x:row>
    <x:row r="226" ht="15.75" customHeight="1">
      <x:c r="A226" s="1"/>
      <x:c r="B226" s="37"/>
      <x:c r="C226" s="38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1"/>
      <x:c r="Y226" s="1"/>
      <x:c r="Z226" s="1"/>
      <x:c r="AA226" s="1"/>
      <x:c r="AB226" s="1"/>
      <x:c r="AC226" s="1"/>
      <x:c r="AD226" s="1"/>
      <x:c r="AE226" s="1"/>
      <x:c r="AF226" s="1"/>
    </x:row>
    <x:row r="227" ht="15.75" customHeight="1">
      <x:c r="A227" s="1"/>
      <x:c r="B227" s="37"/>
      <x:c r="C227" s="38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1"/>
      <x:c r="Y227" s="1"/>
      <x:c r="Z227" s="1"/>
      <x:c r="AA227" s="1"/>
      <x:c r="AB227" s="1"/>
      <x:c r="AC227" s="1"/>
      <x:c r="AD227" s="1"/>
      <x:c r="AE227" s="1"/>
      <x:c r="AF227" s="1"/>
    </x:row>
    <x:row r="228" ht="15.75" customHeight="1">
      <x:c r="A228" s="1"/>
      <x:c r="B228" s="37"/>
      <x:c r="C228" s="38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1"/>
      <x:c r="Y228" s="1"/>
      <x:c r="Z228" s="1"/>
      <x:c r="AA228" s="1"/>
      <x:c r="AB228" s="1"/>
      <x:c r="AC228" s="1"/>
      <x:c r="AD228" s="1"/>
      <x:c r="AE228" s="1"/>
      <x:c r="AF228" s="1"/>
    </x:row>
    <x:row r="229" ht="15.75" customHeight="1">
      <x:c r="A229" s="1"/>
      <x:c r="B229" s="37"/>
      <x:c r="C229" s="38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1"/>
      <x:c r="Y229" s="1"/>
      <x:c r="Z229" s="1"/>
      <x:c r="AA229" s="1"/>
      <x:c r="AB229" s="1"/>
      <x:c r="AC229" s="1"/>
      <x:c r="AD229" s="1"/>
      <x:c r="AE229" s="1"/>
      <x:c r="AF229" s="1"/>
    </x:row>
    <x:row r="230" ht="15.75" customHeight="1">
      <x:c r="A230" s="1"/>
      <x:c r="B230" s="37"/>
      <x:c r="C230" s="38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1"/>
      <x:c r="Y230" s="1"/>
      <x:c r="Z230" s="1"/>
      <x:c r="AA230" s="1"/>
      <x:c r="AB230" s="1"/>
      <x:c r="AC230" s="1"/>
      <x:c r="AD230" s="1"/>
      <x:c r="AE230" s="1"/>
      <x:c r="AF230" s="1"/>
    </x:row>
    <x:row r="231" ht="15.75" customHeight="1">
      <x:c r="A231" s="1"/>
      <x:c r="B231" s="37"/>
      <x:c r="C231" s="38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1"/>
      <x:c r="Y231" s="1"/>
      <x:c r="Z231" s="1"/>
      <x:c r="AA231" s="1"/>
      <x:c r="AB231" s="1"/>
      <x:c r="AC231" s="1"/>
      <x:c r="AD231" s="1"/>
      <x:c r="AE231" s="1"/>
      <x:c r="AF231" s="1"/>
    </x:row>
    <x:row r="232" ht="15.75" customHeight="1">
      <x:c r="A232" s="1"/>
      <x:c r="B232" s="37"/>
      <x:c r="C232" s="38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1"/>
      <x:c r="Y232" s="1"/>
      <x:c r="Z232" s="1"/>
      <x:c r="AA232" s="1"/>
      <x:c r="AB232" s="1"/>
      <x:c r="AC232" s="1"/>
      <x:c r="AD232" s="1"/>
      <x:c r="AE232" s="1"/>
      <x:c r="AF232" s="1"/>
    </x:row>
    <x:row r="233" ht="15.75" customHeight="1">
      <x:c r="A233" s="1"/>
      <x:c r="B233" s="37"/>
      <x:c r="C233" s="38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1"/>
      <x:c r="Y233" s="1"/>
      <x:c r="Z233" s="1"/>
      <x:c r="AA233" s="1"/>
      <x:c r="AB233" s="1"/>
      <x:c r="AC233" s="1"/>
      <x:c r="AD233" s="1"/>
      <x:c r="AE233" s="1"/>
      <x:c r="AF233" s="1"/>
    </x:row>
    <x:row r="234" ht="15.75" customHeight="1">
      <x:c r="A234" s="1"/>
      <x:c r="B234" s="37"/>
      <x:c r="C234" s="38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1"/>
      <x:c r="Y234" s="1"/>
      <x:c r="Z234" s="1"/>
      <x:c r="AA234" s="1"/>
      <x:c r="AB234" s="1"/>
      <x:c r="AC234" s="1"/>
      <x:c r="AD234" s="1"/>
      <x:c r="AE234" s="1"/>
      <x:c r="AF234" s="1"/>
    </x:row>
    <x:row r="235" ht="15.75" customHeight="1">
      <x:c r="A235" s="1"/>
      <x:c r="B235" s="37"/>
      <x:c r="C235" s="38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1"/>
      <x:c r="Y235" s="1"/>
      <x:c r="Z235" s="1"/>
      <x:c r="AA235" s="1"/>
      <x:c r="AB235" s="1"/>
      <x:c r="AC235" s="1"/>
      <x:c r="AD235" s="1"/>
      <x:c r="AE235" s="1"/>
      <x:c r="AF235" s="1"/>
    </x:row>
    <x:row r="236" ht="15.75" customHeight="1">
      <x:c r="A236" s="1"/>
      <x:c r="B236" s="37"/>
      <x:c r="C236" s="38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1"/>
      <x:c r="Y236" s="1"/>
      <x:c r="Z236" s="1"/>
      <x:c r="AA236" s="1"/>
      <x:c r="AB236" s="1"/>
      <x:c r="AC236" s="1"/>
      <x:c r="AD236" s="1"/>
      <x:c r="AE236" s="1"/>
      <x:c r="AF236" s="1"/>
    </x:row>
    <x:row r="237" ht="15.75" customHeight="1">
      <x:c r="A237" s="1"/>
      <x:c r="B237" s="37"/>
      <x:c r="C237" s="38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1"/>
      <x:c r="Y237" s="1"/>
      <x:c r="Z237" s="1"/>
      <x:c r="AA237" s="1"/>
      <x:c r="AB237" s="1"/>
      <x:c r="AC237" s="1"/>
      <x:c r="AD237" s="1"/>
      <x:c r="AE237" s="1"/>
      <x:c r="AF237" s="1"/>
    </x:row>
    <x:row r="238" ht="15.75" customHeight="1">
      <x:c r="A238" s="1"/>
      <x:c r="B238" s="37"/>
      <x:c r="C238" s="38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1"/>
      <x:c r="Y238" s="1"/>
      <x:c r="Z238" s="1"/>
      <x:c r="AA238" s="1"/>
      <x:c r="AB238" s="1"/>
      <x:c r="AC238" s="1"/>
      <x:c r="AD238" s="1"/>
      <x:c r="AE238" s="1"/>
      <x:c r="AF238" s="1"/>
    </x:row>
    <x:row r="239" ht="15.75" customHeight="1">
      <x:c r="A239" s="1"/>
      <x:c r="B239" s="37"/>
      <x:c r="C239" s="38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1"/>
      <x:c r="Y239" s="1"/>
      <x:c r="Z239" s="1"/>
      <x:c r="AA239" s="1"/>
      <x:c r="AB239" s="1"/>
      <x:c r="AC239" s="1"/>
      <x:c r="AD239" s="1"/>
      <x:c r="AE239" s="1"/>
      <x:c r="AF239" s="1"/>
    </x:row>
    <x:row r="240" ht="15.75" customHeight="1">
      <x:c r="A240" s="1"/>
      <x:c r="B240" s="37"/>
      <x:c r="C240" s="38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1"/>
      <x:c r="Y240" s="1"/>
      <x:c r="Z240" s="1"/>
      <x:c r="AA240" s="1"/>
      <x:c r="AB240" s="1"/>
      <x:c r="AC240" s="1"/>
      <x:c r="AD240" s="1"/>
      <x:c r="AE240" s="1"/>
      <x:c r="AF240" s="1"/>
    </x:row>
    <x:row r="241" ht="15.75" customHeight="1">
      <x:c r="A241" s="1"/>
      <x:c r="B241" s="37"/>
      <x:c r="C241" s="38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1"/>
      <x:c r="Y241" s="1"/>
      <x:c r="Z241" s="1"/>
      <x:c r="AA241" s="1"/>
      <x:c r="AB241" s="1"/>
      <x:c r="AC241" s="1"/>
      <x:c r="AD241" s="1"/>
      <x:c r="AE241" s="1"/>
      <x:c r="AF241" s="1"/>
    </x:row>
    <x:row r="242" ht="15.75" customHeight="1">
      <x:c r="A242" s="1"/>
      <x:c r="B242" s="37"/>
      <x:c r="C242" s="38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1"/>
      <x:c r="Y242" s="1"/>
      <x:c r="Z242" s="1"/>
      <x:c r="AA242" s="1"/>
      <x:c r="AB242" s="1"/>
      <x:c r="AC242" s="1"/>
      <x:c r="AD242" s="1"/>
      <x:c r="AE242" s="1"/>
      <x:c r="AF242" s="1"/>
    </x:row>
    <x:row r="243" ht="15.75" customHeight="1">
      <x:c r="A243" s="1"/>
      <x:c r="B243" s="37"/>
      <x:c r="C243" s="38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1"/>
      <x:c r="Y243" s="1"/>
      <x:c r="Z243" s="1"/>
      <x:c r="AA243" s="1"/>
      <x:c r="AB243" s="1"/>
      <x:c r="AC243" s="1"/>
      <x:c r="AD243" s="1"/>
      <x:c r="AE243" s="1"/>
      <x:c r="AF243" s="1"/>
    </x:row>
    <x:row r="244" ht="15.75" customHeight="1">
      <x:c r="A244" s="1"/>
      <x:c r="B244" s="37"/>
      <x:c r="C244" s="38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1"/>
      <x:c r="Y244" s="1"/>
      <x:c r="Z244" s="1"/>
      <x:c r="AA244" s="1"/>
      <x:c r="AB244" s="1"/>
      <x:c r="AC244" s="1"/>
      <x:c r="AD244" s="1"/>
      <x:c r="AE244" s="1"/>
      <x:c r="AF244" s="1"/>
    </x:row>
    <x:row r="245" ht="15.75" customHeight="1">
      <x:c r="A245" s="1"/>
      <x:c r="B245" s="37"/>
      <x:c r="C245" s="38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1"/>
      <x:c r="Y245" s="1"/>
      <x:c r="Z245" s="1"/>
      <x:c r="AA245" s="1"/>
      <x:c r="AB245" s="1"/>
      <x:c r="AC245" s="1"/>
      <x:c r="AD245" s="1"/>
      <x:c r="AE245" s="1"/>
      <x:c r="AF245" s="1"/>
    </x:row>
    <x:row r="246" ht="15.75" customHeight="1">
      <x:c r="A246" s="1"/>
      <x:c r="B246" s="37"/>
      <x:c r="C246" s="38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1"/>
      <x:c r="Y246" s="1"/>
      <x:c r="Z246" s="1"/>
      <x:c r="AA246" s="1"/>
      <x:c r="AB246" s="1"/>
      <x:c r="AC246" s="1"/>
      <x:c r="AD246" s="1"/>
      <x:c r="AE246" s="1"/>
      <x:c r="AF246" s="1"/>
    </x:row>
    <x:row r="247" ht="15.75" customHeight="1">
      <x:c r="A247" s="1"/>
      <x:c r="B247" s="37"/>
      <x:c r="C247" s="38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1"/>
      <x:c r="Y247" s="1"/>
      <x:c r="Z247" s="1"/>
      <x:c r="AA247" s="1"/>
      <x:c r="AB247" s="1"/>
      <x:c r="AC247" s="1"/>
      <x:c r="AD247" s="1"/>
      <x:c r="AE247" s="1"/>
      <x:c r="AF247" s="1"/>
    </x:row>
    <x:row r="248" ht="15.75" customHeight="1">
      <x:c r="A248" s="1"/>
      <x:c r="B248" s="37"/>
      <x:c r="C248" s="38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1"/>
      <x:c r="Y248" s="1"/>
      <x:c r="Z248" s="1"/>
      <x:c r="AA248" s="1"/>
      <x:c r="AB248" s="1"/>
      <x:c r="AC248" s="1"/>
      <x:c r="AD248" s="1"/>
      <x:c r="AE248" s="1"/>
      <x:c r="AF248" s="1"/>
    </x:row>
    <x:row r="249" ht="15.75" customHeight="1">
      <x:c r="A249" s="1"/>
      <x:c r="B249" s="37"/>
      <x:c r="C249" s="38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1"/>
      <x:c r="Y249" s="1"/>
      <x:c r="Z249" s="1"/>
      <x:c r="AA249" s="1"/>
      <x:c r="AB249" s="1"/>
      <x:c r="AC249" s="1"/>
      <x:c r="AD249" s="1"/>
      <x:c r="AE249" s="1"/>
      <x:c r="AF249" s="1"/>
    </x:row>
    <x:row r="250" ht="15.75" customHeight="1">
      <x:c r="A250" s="1"/>
      <x:c r="B250" s="37"/>
      <x:c r="C250" s="38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1"/>
      <x:c r="Y250" s="1"/>
      <x:c r="Z250" s="1"/>
      <x:c r="AA250" s="1"/>
      <x:c r="AB250" s="1"/>
      <x:c r="AC250" s="1"/>
      <x:c r="AD250" s="1"/>
      <x:c r="AE250" s="1"/>
      <x:c r="AF250" s="1"/>
    </x:row>
    <x:row r="251" ht="15.75" customHeight="1">
      <x:c r="A251" s="1"/>
      <x:c r="B251" s="37"/>
      <x:c r="C251" s="38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1"/>
      <x:c r="Y251" s="1"/>
      <x:c r="Z251" s="1"/>
      <x:c r="AA251" s="1"/>
      <x:c r="AB251" s="1"/>
      <x:c r="AC251" s="1"/>
      <x:c r="AD251" s="1"/>
      <x:c r="AE251" s="1"/>
      <x:c r="AF251" s="1"/>
    </x:row>
    <x:row r="252" ht="15.75" customHeight="1">
      <x:c r="A252" s="1"/>
      <x:c r="B252" s="37"/>
      <x:c r="C252" s="38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1"/>
      <x:c r="Y252" s="1"/>
      <x:c r="Z252" s="1"/>
      <x:c r="AA252" s="1"/>
      <x:c r="AB252" s="1"/>
      <x:c r="AC252" s="1"/>
      <x:c r="AD252" s="1"/>
      <x:c r="AE252" s="1"/>
      <x:c r="AF252" s="1"/>
    </x:row>
    <x:row r="253" ht="15.75" customHeight="1">
      <x:c r="A253" s="1"/>
      <x:c r="B253" s="37"/>
      <x:c r="C253" s="38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1"/>
      <x:c r="Y253" s="1"/>
      <x:c r="Z253" s="1"/>
      <x:c r="AA253" s="1"/>
      <x:c r="AB253" s="1"/>
      <x:c r="AC253" s="1"/>
      <x:c r="AD253" s="1"/>
      <x:c r="AE253" s="1"/>
      <x:c r="AF253" s="1"/>
    </x:row>
    <x:row r="254" ht="15.75" customHeight="1">
      <x:c r="A254" s="1"/>
      <x:c r="B254" s="37"/>
      <x:c r="C254" s="38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1"/>
      <x:c r="Y254" s="1"/>
      <x:c r="Z254" s="1"/>
      <x:c r="AA254" s="1"/>
      <x:c r="AB254" s="1"/>
      <x:c r="AC254" s="1"/>
      <x:c r="AD254" s="1"/>
      <x:c r="AE254" s="1"/>
      <x:c r="AF254" s="1"/>
    </x:row>
    <x:row r="255" ht="15.75" customHeight="1">
      <x:c r="A255" s="1"/>
      <x:c r="B255" s="37"/>
      <x:c r="C255" s="38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1"/>
      <x:c r="Y255" s="1"/>
      <x:c r="Z255" s="1"/>
      <x:c r="AA255" s="1"/>
      <x:c r="AB255" s="1"/>
      <x:c r="AC255" s="1"/>
      <x:c r="AD255" s="1"/>
      <x:c r="AE255" s="1"/>
      <x:c r="AF255" s="1"/>
    </x:row>
    <x:row r="256" ht="15.75" customHeight="1">
      <x:c r="A256" s="1"/>
      <x:c r="B256" s="37"/>
      <x:c r="C256" s="38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1"/>
      <x:c r="Y256" s="1"/>
      <x:c r="Z256" s="1"/>
      <x:c r="AA256" s="1"/>
      <x:c r="AB256" s="1"/>
      <x:c r="AC256" s="1"/>
      <x:c r="AD256" s="1"/>
      <x:c r="AE256" s="1"/>
      <x:c r="AF256" s="1"/>
    </x:row>
    <x:row r="257" ht="15.75" customHeight="1">
      <x:c r="A257" s="1"/>
      <x:c r="B257" s="37"/>
      <x:c r="C257" s="38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1"/>
      <x:c r="Y257" s="1"/>
      <x:c r="Z257" s="1"/>
      <x:c r="AA257" s="1"/>
      <x:c r="AB257" s="1"/>
      <x:c r="AC257" s="1"/>
      <x:c r="AD257" s="1"/>
      <x:c r="AE257" s="1"/>
      <x:c r="AF257" s="1"/>
    </x:row>
    <x:row r="258" ht="15.75" customHeight="1">
      <x:c r="A258" s="1"/>
      <x:c r="B258" s="37"/>
      <x:c r="C258" s="38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1"/>
      <x:c r="Y258" s="1"/>
      <x:c r="Z258" s="1"/>
      <x:c r="AA258" s="1"/>
      <x:c r="AB258" s="1"/>
      <x:c r="AC258" s="1"/>
      <x:c r="AD258" s="1"/>
      <x:c r="AE258" s="1"/>
      <x:c r="AF258" s="1"/>
    </x:row>
    <x:row r="259" ht="15.75" customHeight="1">
      <x:c r="A259" s="1"/>
      <x:c r="B259" s="37"/>
      <x:c r="C259" s="38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1"/>
      <x:c r="Y259" s="1"/>
      <x:c r="Z259" s="1"/>
      <x:c r="AA259" s="1"/>
      <x:c r="AB259" s="1"/>
      <x:c r="AC259" s="1"/>
      <x:c r="AD259" s="1"/>
      <x:c r="AE259" s="1"/>
      <x:c r="AF259" s="1"/>
    </x:row>
    <x:row r="260" ht="15.75" customHeight="1">
      <x:c r="A260" s="1"/>
      <x:c r="B260" s="37"/>
      <x:c r="C260" s="38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1"/>
      <x:c r="Y260" s="1"/>
      <x:c r="Z260" s="1"/>
      <x:c r="AA260" s="1"/>
      <x:c r="AB260" s="1"/>
      <x:c r="AC260" s="1"/>
      <x:c r="AD260" s="1"/>
      <x:c r="AE260" s="1"/>
      <x:c r="AF260" s="1"/>
    </x:row>
    <x:row r="261" ht="15.75" customHeight="1">
      <x:c r="A261" s="1"/>
      <x:c r="B261" s="37"/>
      <x:c r="C261" s="38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1"/>
      <x:c r="Y261" s="1"/>
      <x:c r="Z261" s="1"/>
      <x:c r="AA261" s="1"/>
      <x:c r="AB261" s="1"/>
      <x:c r="AC261" s="1"/>
      <x:c r="AD261" s="1"/>
      <x:c r="AE261" s="1"/>
      <x:c r="AF261" s="1"/>
    </x:row>
    <x:row r="262" ht="15.75" customHeight="1">
      <x:c r="A262" s="1"/>
      <x:c r="B262" s="37"/>
      <x:c r="C262" s="38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1"/>
      <x:c r="Y262" s="1"/>
      <x:c r="Z262" s="1"/>
      <x:c r="AA262" s="1"/>
      <x:c r="AB262" s="1"/>
      <x:c r="AC262" s="1"/>
      <x:c r="AD262" s="1"/>
      <x:c r="AE262" s="1"/>
      <x:c r="AF262" s="1"/>
    </x:row>
    <x:row r="263" ht="15.75" customHeight="1">
      <x:c r="A263" s="1"/>
      <x:c r="B263" s="37"/>
      <x:c r="C263" s="38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1"/>
      <x:c r="Y263" s="1"/>
      <x:c r="Z263" s="1"/>
      <x:c r="AA263" s="1"/>
      <x:c r="AB263" s="1"/>
      <x:c r="AC263" s="1"/>
      <x:c r="AD263" s="1"/>
      <x:c r="AE263" s="1"/>
      <x:c r="AF263" s="1"/>
    </x:row>
    <x:row r="264" ht="15.75" customHeight="1">
      <x:c r="A264" s="1"/>
      <x:c r="B264" s="37"/>
      <x:c r="C264" s="38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1"/>
      <x:c r="Y264" s="1"/>
      <x:c r="Z264" s="1"/>
      <x:c r="AA264" s="1"/>
      <x:c r="AB264" s="1"/>
      <x:c r="AC264" s="1"/>
      <x:c r="AD264" s="1"/>
      <x:c r="AE264" s="1"/>
      <x:c r="AF264" s="1"/>
    </x:row>
    <x:row r="265" ht="15.75" customHeight="1">
      <x:c r="A265" s="1"/>
      <x:c r="B265" s="37"/>
      <x:c r="C265" s="38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1"/>
      <x:c r="Y265" s="1"/>
      <x:c r="Z265" s="1"/>
      <x:c r="AA265" s="1"/>
      <x:c r="AB265" s="1"/>
      <x:c r="AC265" s="1"/>
      <x:c r="AD265" s="1"/>
      <x:c r="AE265" s="1"/>
      <x:c r="AF265" s="1"/>
    </x:row>
    <x:row r="266" ht="15.75" customHeight="1">
      <x:c r="A266" s="1"/>
      <x:c r="B266" s="37"/>
      <x:c r="C266" s="38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1"/>
      <x:c r="Y266" s="1"/>
      <x:c r="Z266" s="1"/>
      <x:c r="AA266" s="1"/>
      <x:c r="AB266" s="1"/>
      <x:c r="AC266" s="1"/>
      <x:c r="AD266" s="1"/>
      <x:c r="AE266" s="1"/>
      <x:c r="AF266" s="1"/>
    </x:row>
    <x:row r="267" ht="15.75" customHeight="1">
      <x:c r="A267" s="1"/>
      <x:c r="B267" s="37"/>
      <x:c r="C267" s="38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1"/>
      <x:c r="Y267" s="1"/>
      <x:c r="Z267" s="1"/>
      <x:c r="AA267" s="1"/>
      <x:c r="AB267" s="1"/>
      <x:c r="AC267" s="1"/>
      <x:c r="AD267" s="1"/>
      <x:c r="AE267" s="1"/>
      <x:c r="AF267" s="1"/>
    </x:row>
    <x:row r="268" ht="15.75" customHeight="1">
      <x:c r="A268" s="1"/>
      <x:c r="B268" s="37"/>
      <x:c r="C268" s="38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1"/>
      <x:c r="Y268" s="1"/>
      <x:c r="Z268" s="1"/>
      <x:c r="AA268" s="1"/>
      <x:c r="AB268" s="1"/>
      <x:c r="AC268" s="1"/>
      <x:c r="AD268" s="1"/>
      <x:c r="AE268" s="1"/>
      <x:c r="AF268" s="1"/>
    </x:row>
    <x:row r="269" ht="15.75" customHeight="1">
      <x:c r="A269" s="1"/>
      <x:c r="B269" s="37"/>
      <x:c r="C269" s="38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1"/>
      <x:c r="Y269" s="1"/>
      <x:c r="Z269" s="1"/>
      <x:c r="AA269" s="1"/>
      <x:c r="AB269" s="1"/>
      <x:c r="AC269" s="1"/>
      <x:c r="AD269" s="1"/>
      <x:c r="AE269" s="1"/>
      <x:c r="AF269" s="1"/>
    </x:row>
    <x:row r="270" ht="15.75" customHeight="1">
      <x:c r="A270" s="1"/>
      <x:c r="B270" s="37"/>
      <x:c r="C270" s="38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1"/>
      <x:c r="Y270" s="1"/>
      <x:c r="Z270" s="1"/>
      <x:c r="AA270" s="1"/>
      <x:c r="AB270" s="1"/>
      <x:c r="AC270" s="1"/>
      <x:c r="AD270" s="1"/>
      <x:c r="AE270" s="1"/>
      <x:c r="AF270" s="1"/>
    </x:row>
    <x:row r="271" ht="15.75" customHeight="1">
      <x:c r="A271" s="1"/>
      <x:c r="B271" s="37"/>
      <x:c r="C271" s="38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1"/>
      <x:c r="Y271" s="1"/>
      <x:c r="Z271" s="1"/>
      <x:c r="AA271" s="1"/>
      <x:c r="AB271" s="1"/>
      <x:c r="AC271" s="1"/>
      <x:c r="AD271" s="1"/>
      <x:c r="AE271" s="1"/>
      <x:c r="AF271" s="1"/>
    </x:row>
    <x:row r="272" ht="15.75" customHeight="1">
      <x:c r="A272" s="1"/>
      <x:c r="B272" s="37"/>
      <x:c r="C272" s="38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1"/>
      <x:c r="Y272" s="1"/>
      <x:c r="Z272" s="1"/>
      <x:c r="AA272" s="1"/>
      <x:c r="AB272" s="1"/>
      <x:c r="AC272" s="1"/>
      <x:c r="AD272" s="1"/>
      <x:c r="AE272" s="1"/>
      <x:c r="AF272" s="1"/>
    </x:row>
    <x:row r="273" ht="15.75" customHeight="1">
      <x:c r="A273" s="1"/>
      <x:c r="B273" s="37"/>
      <x:c r="C273" s="38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1"/>
      <x:c r="Y273" s="1"/>
      <x:c r="Z273" s="1"/>
      <x:c r="AA273" s="1"/>
      <x:c r="AB273" s="1"/>
      <x:c r="AC273" s="1"/>
      <x:c r="AD273" s="1"/>
      <x:c r="AE273" s="1"/>
      <x:c r="AF273" s="1"/>
    </x:row>
    <x:row r="274" ht="15.75" customHeight="1">
      <x:c r="A274" s="1"/>
      <x:c r="B274" s="37"/>
      <x:c r="C274" s="38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1"/>
      <x:c r="Y274" s="1"/>
      <x:c r="Z274" s="1"/>
      <x:c r="AA274" s="1"/>
      <x:c r="AB274" s="1"/>
      <x:c r="AC274" s="1"/>
      <x:c r="AD274" s="1"/>
      <x:c r="AE274" s="1"/>
      <x:c r="AF274" s="1"/>
    </x:row>
    <x:row r="275" ht="15.75" customHeight="1">
      <x:c r="A275" s="1"/>
      <x:c r="B275" s="37"/>
      <x:c r="C275" s="38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1"/>
      <x:c r="Y275" s="1"/>
      <x:c r="Z275" s="1"/>
      <x:c r="AA275" s="1"/>
      <x:c r="AB275" s="1"/>
      <x:c r="AC275" s="1"/>
      <x:c r="AD275" s="1"/>
      <x:c r="AE275" s="1"/>
      <x:c r="AF275" s="1"/>
    </x:row>
    <x:row r="276" ht="15.75" customHeight="1">
      <x:c r="A276" s="1"/>
      <x:c r="B276" s="37"/>
      <x:c r="C276" s="38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1"/>
      <x:c r="Y276" s="1"/>
      <x:c r="Z276" s="1"/>
      <x:c r="AA276" s="1"/>
      <x:c r="AB276" s="1"/>
      <x:c r="AC276" s="1"/>
      <x:c r="AD276" s="1"/>
      <x:c r="AE276" s="1"/>
      <x:c r="AF276" s="1"/>
    </x:row>
    <x:row r="277" ht="15.75" customHeight="1">
      <x:c r="A277" s="1"/>
      <x:c r="B277" s="37"/>
      <x:c r="C277" s="38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1"/>
      <x:c r="Y277" s="1"/>
      <x:c r="Z277" s="1"/>
      <x:c r="AA277" s="1"/>
      <x:c r="AB277" s="1"/>
      <x:c r="AC277" s="1"/>
      <x:c r="AD277" s="1"/>
      <x:c r="AE277" s="1"/>
      <x:c r="AF277" s="1"/>
    </x:row>
    <x:row r="278" ht="15.75" customHeight="1">
      <x:c r="A278" s="1"/>
      <x:c r="B278" s="37"/>
      <x:c r="C278" s="38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1"/>
      <x:c r="Y278" s="1"/>
      <x:c r="Z278" s="1"/>
      <x:c r="AA278" s="1"/>
      <x:c r="AB278" s="1"/>
      <x:c r="AC278" s="1"/>
      <x:c r="AD278" s="1"/>
      <x:c r="AE278" s="1"/>
      <x:c r="AF278" s="1"/>
    </x:row>
    <x:row r="279" ht="15.75" customHeight="1">
      <x:c r="A279" s="1"/>
      <x:c r="B279" s="37"/>
      <x:c r="C279" s="38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1"/>
      <x:c r="Y279" s="1"/>
      <x:c r="Z279" s="1"/>
      <x:c r="AA279" s="1"/>
      <x:c r="AB279" s="1"/>
      <x:c r="AC279" s="1"/>
      <x:c r="AD279" s="1"/>
      <x:c r="AE279" s="1"/>
      <x:c r="AF279" s="1"/>
    </x:row>
    <x:row r="280" ht="15.75" customHeight="1">
      <x:c r="A280" s="1"/>
      <x:c r="B280" s="37"/>
      <x:c r="C280" s="38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1"/>
      <x:c r="Y280" s="1"/>
      <x:c r="Z280" s="1"/>
      <x:c r="AA280" s="1"/>
      <x:c r="AB280" s="1"/>
      <x:c r="AC280" s="1"/>
      <x:c r="AD280" s="1"/>
      <x:c r="AE280" s="1"/>
      <x:c r="AF280" s="1"/>
    </x:row>
    <x:row r="281" ht="15.75" customHeight="1">
      <x:c r="A281" s="1"/>
      <x:c r="B281" s="37"/>
      <x:c r="C281" s="38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1"/>
      <x:c r="Y281" s="1"/>
      <x:c r="Z281" s="1"/>
      <x:c r="AA281" s="1"/>
      <x:c r="AB281" s="1"/>
      <x:c r="AC281" s="1"/>
      <x:c r="AD281" s="1"/>
      <x:c r="AE281" s="1"/>
      <x:c r="AF281" s="1"/>
    </x:row>
    <x:row r="282" ht="15.75" customHeight="1">
      <x:c r="A282" s="1"/>
      <x:c r="B282" s="37"/>
      <x:c r="C282" s="38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1"/>
      <x:c r="Y282" s="1"/>
      <x:c r="Z282" s="1"/>
      <x:c r="AA282" s="1"/>
      <x:c r="AB282" s="1"/>
      <x:c r="AC282" s="1"/>
      <x:c r="AD282" s="1"/>
      <x:c r="AE282" s="1"/>
      <x:c r="AF282" s="1"/>
    </x:row>
    <x:row r="283" ht="15.75" customHeight="1">
      <x:c r="A283" s="1"/>
      <x:c r="B283" s="37"/>
      <x:c r="C283" s="38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1"/>
      <x:c r="Y283" s="1"/>
      <x:c r="Z283" s="1"/>
      <x:c r="AA283" s="1"/>
      <x:c r="AB283" s="1"/>
      <x:c r="AC283" s="1"/>
      <x:c r="AD283" s="1"/>
      <x:c r="AE283" s="1"/>
      <x:c r="AF283" s="1"/>
    </x:row>
    <x:row r="284" ht="15.75" customHeight="1">
      <x:c r="A284" s="1"/>
      <x:c r="B284" s="37"/>
      <x:c r="C284" s="38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1"/>
      <x:c r="Y284" s="1"/>
      <x:c r="Z284" s="1"/>
      <x:c r="AA284" s="1"/>
      <x:c r="AB284" s="1"/>
      <x:c r="AC284" s="1"/>
      <x:c r="AD284" s="1"/>
      <x:c r="AE284" s="1"/>
      <x:c r="AF284" s="1"/>
    </x:row>
    <x:row r="285" ht="15.75" customHeight="1">
      <x:c r="A285" s="1"/>
      <x:c r="B285" s="37"/>
      <x:c r="C285" s="38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1"/>
      <x:c r="Y285" s="1"/>
      <x:c r="Z285" s="1"/>
      <x:c r="AA285" s="1"/>
      <x:c r="AB285" s="1"/>
      <x:c r="AC285" s="1"/>
      <x:c r="AD285" s="1"/>
      <x:c r="AE285" s="1"/>
      <x:c r="AF285" s="1"/>
    </x:row>
    <x:row r="286" ht="15.75" customHeight="1">
      <x:c r="A286" s="1"/>
      <x:c r="B286" s="37"/>
      <x:c r="C286" s="38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1"/>
      <x:c r="Y286" s="1"/>
      <x:c r="Z286" s="1"/>
      <x:c r="AA286" s="1"/>
      <x:c r="AB286" s="1"/>
      <x:c r="AC286" s="1"/>
      <x:c r="AD286" s="1"/>
      <x:c r="AE286" s="1"/>
      <x:c r="AF286" s="1"/>
    </x:row>
    <x:row r="287" ht="15.75" customHeight="1">
      <x:c r="A287" s="1"/>
      <x:c r="B287" s="37"/>
      <x:c r="C287" s="38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1"/>
      <x:c r="Y287" s="1"/>
      <x:c r="Z287" s="1"/>
      <x:c r="AA287" s="1"/>
      <x:c r="AB287" s="1"/>
      <x:c r="AC287" s="1"/>
      <x:c r="AD287" s="1"/>
      <x:c r="AE287" s="1"/>
      <x:c r="AF287" s="1"/>
    </x:row>
    <x:row r="288" ht="15.75" customHeight="1">
      <x:c r="A288" s="1"/>
      <x:c r="B288" s="37"/>
      <x:c r="C288" s="38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1"/>
      <x:c r="Y288" s="1"/>
      <x:c r="Z288" s="1"/>
      <x:c r="AA288" s="1"/>
      <x:c r="AB288" s="1"/>
      <x:c r="AC288" s="1"/>
      <x:c r="AD288" s="1"/>
      <x:c r="AE288" s="1"/>
      <x:c r="AF288" s="1"/>
    </x:row>
    <x:row r="289" ht="15.75" customHeight="1">
      <x:c r="A289" s="1"/>
      <x:c r="B289" s="37"/>
      <x:c r="C289" s="38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1"/>
      <x:c r="Y289" s="1"/>
      <x:c r="Z289" s="1"/>
      <x:c r="AA289" s="1"/>
      <x:c r="AB289" s="1"/>
      <x:c r="AC289" s="1"/>
      <x:c r="AD289" s="1"/>
      <x:c r="AE289" s="1"/>
      <x:c r="AF289" s="1"/>
    </x:row>
    <x:row r="290" ht="15.75" customHeight="1">
      <x:c r="A290" s="1"/>
      <x:c r="B290" s="37"/>
      <x:c r="C290" s="38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1"/>
      <x:c r="Y290" s="1"/>
      <x:c r="Z290" s="1"/>
      <x:c r="AA290" s="1"/>
      <x:c r="AB290" s="1"/>
      <x:c r="AC290" s="1"/>
      <x:c r="AD290" s="1"/>
      <x:c r="AE290" s="1"/>
      <x:c r="AF290" s="1"/>
    </x:row>
    <x:row r="291" ht="15.75" customHeight="1">
      <x:c r="A291" s="1"/>
      <x:c r="B291" s="37"/>
      <x:c r="C291" s="38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1"/>
      <x:c r="Y291" s="1"/>
      <x:c r="Z291" s="1"/>
      <x:c r="AA291" s="1"/>
      <x:c r="AB291" s="1"/>
      <x:c r="AC291" s="1"/>
      <x:c r="AD291" s="1"/>
      <x:c r="AE291" s="1"/>
      <x:c r="AF291" s="1"/>
    </x:row>
    <x:row r="292" ht="15.75" customHeight="1">
      <x:c r="A292" s="1"/>
      <x:c r="B292" s="37"/>
      <x:c r="C292" s="38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1"/>
      <x:c r="Y292" s="1"/>
      <x:c r="Z292" s="1"/>
      <x:c r="AA292" s="1"/>
      <x:c r="AB292" s="1"/>
      <x:c r="AC292" s="1"/>
      <x:c r="AD292" s="1"/>
      <x:c r="AE292" s="1"/>
      <x:c r="AF292" s="1"/>
    </x:row>
    <x:row r="293" ht="15.75" customHeight="1">
      <x:c r="A293" s="1"/>
      <x:c r="B293" s="37"/>
      <x:c r="C293" s="38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1"/>
      <x:c r="Y293" s="1"/>
      <x:c r="Z293" s="1"/>
      <x:c r="AA293" s="1"/>
      <x:c r="AB293" s="1"/>
      <x:c r="AC293" s="1"/>
      <x:c r="AD293" s="1"/>
      <x:c r="AE293" s="1"/>
      <x:c r="AF293" s="1"/>
    </x:row>
    <x:row r="294" ht="15.75" customHeight="1">
      <x:c r="A294" s="1"/>
      <x:c r="B294" s="37"/>
      <x:c r="C294" s="38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1"/>
      <x:c r="Y294" s="1"/>
      <x:c r="Z294" s="1"/>
      <x:c r="AA294" s="1"/>
      <x:c r="AB294" s="1"/>
      <x:c r="AC294" s="1"/>
      <x:c r="AD294" s="1"/>
      <x:c r="AE294" s="1"/>
      <x:c r="AF294" s="1"/>
    </x:row>
    <x:row r="295" ht="15.75" customHeight="1">
      <x:c r="A295" s="1"/>
      <x:c r="B295" s="37"/>
      <x:c r="C295" s="38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1"/>
      <x:c r="Y295" s="1"/>
      <x:c r="Z295" s="1"/>
      <x:c r="AA295" s="1"/>
      <x:c r="AB295" s="1"/>
      <x:c r="AC295" s="1"/>
      <x:c r="AD295" s="1"/>
      <x:c r="AE295" s="1"/>
      <x:c r="AF295" s="1"/>
    </x:row>
    <x:row r="296" ht="15.75" customHeight="1">
      <x:c r="A296" s="1"/>
      <x:c r="B296" s="37"/>
      <x:c r="C296" s="38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1"/>
      <x:c r="Y296" s="1"/>
      <x:c r="Z296" s="1"/>
      <x:c r="AA296" s="1"/>
      <x:c r="AB296" s="1"/>
      <x:c r="AC296" s="1"/>
      <x:c r="AD296" s="1"/>
      <x:c r="AE296" s="1"/>
      <x:c r="AF296" s="1"/>
    </x:row>
    <x:row r="297" ht="15.75" customHeight="1">
      <x:c r="A297" s="1"/>
      <x:c r="B297" s="37"/>
      <x:c r="C297" s="38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1"/>
      <x:c r="Y297" s="1"/>
      <x:c r="Z297" s="1"/>
      <x:c r="AA297" s="1"/>
      <x:c r="AB297" s="1"/>
      <x:c r="AC297" s="1"/>
      <x:c r="AD297" s="1"/>
      <x:c r="AE297" s="1"/>
      <x:c r="AF297" s="1"/>
    </x:row>
    <x:row r="298" ht="15.75" customHeight="1">
      <x:c r="A298" s="1"/>
      <x:c r="B298" s="37"/>
      <x:c r="C298" s="38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1"/>
      <x:c r="Y298" s="1"/>
      <x:c r="Z298" s="1"/>
      <x:c r="AA298" s="1"/>
      <x:c r="AB298" s="1"/>
      <x:c r="AC298" s="1"/>
      <x:c r="AD298" s="1"/>
      <x:c r="AE298" s="1"/>
      <x:c r="AF298" s="1"/>
    </x:row>
    <x:row r="299" ht="15.75" customHeight="1">
      <x:c r="A299" s="1"/>
      <x:c r="B299" s="37"/>
      <x:c r="C299" s="38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1"/>
      <x:c r="Y299" s="1"/>
      <x:c r="Z299" s="1"/>
      <x:c r="AA299" s="1"/>
      <x:c r="AB299" s="1"/>
      <x:c r="AC299" s="1"/>
      <x:c r="AD299" s="1"/>
      <x:c r="AE299" s="1"/>
      <x:c r="AF299" s="1"/>
    </x:row>
    <x:row r="300" ht="15.75" customHeight="1">
      <x:c r="A300" s="1"/>
      <x:c r="B300" s="37"/>
      <x:c r="C300" s="38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1"/>
      <x:c r="Y300" s="1"/>
      <x:c r="Z300" s="1"/>
      <x:c r="AA300" s="1"/>
      <x:c r="AB300" s="1"/>
      <x:c r="AC300" s="1"/>
      <x:c r="AD300" s="1"/>
      <x:c r="AE300" s="1"/>
      <x:c r="AF300" s="1"/>
    </x:row>
    <x:row r="301" ht="15.75" customHeight="1">
      <x:c r="A301" s="1"/>
      <x:c r="B301" s="37"/>
      <x:c r="C301" s="38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1"/>
      <x:c r="Y301" s="1"/>
      <x:c r="Z301" s="1"/>
      <x:c r="AA301" s="1"/>
      <x:c r="AB301" s="1"/>
      <x:c r="AC301" s="1"/>
      <x:c r="AD301" s="1"/>
      <x:c r="AE301" s="1"/>
      <x:c r="AF301" s="1"/>
    </x:row>
    <x:row r="302" ht="15.75" customHeight="1">
      <x:c r="A302" s="1"/>
      <x:c r="B302" s="37"/>
      <x:c r="C302" s="38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1"/>
      <x:c r="Y302" s="1"/>
      <x:c r="Z302" s="1"/>
      <x:c r="AA302" s="1"/>
      <x:c r="AB302" s="1"/>
      <x:c r="AC302" s="1"/>
      <x:c r="AD302" s="1"/>
      <x:c r="AE302" s="1"/>
      <x:c r="AF302" s="1"/>
    </x:row>
    <x:row r="303" ht="15.75" customHeight="1">
      <x:c r="A303" s="1"/>
      <x:c r="B303" s="37"/>
      <x:c r="C303" s="38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1"/>
      <x:c r="Y303" s="1"/>
      <x:c r="Z303" s="1"/>
      <x:c r="AA303" s="1"/>
      <x:c r="AB303" s="1"/>
      <x:c r="AC303" s="1"/>
      <x:c r="AD303" s="1"/>
      <x:c r="AE303" s="1"/>
      <x:c r="AF303" s="1"/>
    </x:row>
    <x:row r="304" ht="15.75" customHeight="1">
      <x:c r="A304" s="1"/>
      <x:c r="B304" s="37"/>
      <x:c r="C304" s="38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1"/>
      <x:c r="Y304" s="1"/>
      <x:c r="Z304" s="1"/>
      <x:c r="AA304" s="1"/>
      <x:c r="AB304" s="1"/>
      <x:c r="AC304" s="1"/>
      <x:c r="AD304" s="1"/>
      <x:c r="AE304" s="1"/>
      <x:c r="AF304" s="1"/>
    </x:row>
    <x:row r="305" ht="15.75" customHeight="1">
      <x:c r="A305" s="1"/>
      <x:c r="B305" s="37"/>
      <x:c r="C305" s="38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1"/>
      <x:c r="Y305" s="1"/>
      <x:c r="Z305" s="1"/>
      <x:c r="AA305" s="1"/>
      <x:c r="AB305" s="1"/>
      <x:c r="AC305" s="1"/>
      <x:c r="AD305" s="1"/>
      <x:c r="AE305" s="1"/>
      <x:c r="AF305" s="1"/>
    </x:row>
    <x:row r="306" ht="15.75" customHeight="1">
      <x:c r="A306" s="1"/>
      <x:c r="B306" s="37"/>
      <x:c r="C306" s="38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1"/>
      <x:c r="Y306" s="1"/>
      <x:c r="Z306" s="1"/>
      <x:c r="AA306" s="1"/>
      <x:c r="AB306" s="1"/>
      <x:c r="AC306" s="1"/>
      <x:c r="AD306" s="1"/>
      <x:c r="AE306" s="1"/>
      <x:c r="AF306" s="1"/>
    </x:row>
    <x:row r="307" ht="15.75" customHeight="1">
      <x:c r="A307" s="1"/>
      <x:c r="B307" s="37"/>
      <x:c r="C307" s="38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1"/>
      <x:c r="Y307" s="1"/>
      <x:c r="Z307" s="1"/>
      <x:c r="AA307" s="1"/>
      <x:c r="AB307" s="1"/>
      <x:c r="AC307" s="1"/>
      <x:c r="AD307" s="1"/>
      <x:c r="AE307" s="1"/>
      <x:c r="AF307" s="1"/>
    </x:row>
    <x:row r="308" ht="15.75" customHeight="1">
      <x:c r="A308" s="1"/>
      <x:c r="B308" s="37"/>
      <x:c r="C308" s="38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1"/>
      <x:c r="Y308" s="1"/>
      <x:c r="Z308" s="1"/>
      <x:c r="AA308" s="1"/>
      <x:c r="AB308" s="1"/>
      <x:c r="AC308" s="1"/>
      <x:c r="AD308" s="1"/>
      <x:c r="AE308" s="1"/>
      <x:c r="AF308" s="1"/>
    </x:row>
    <x:row r="309" ht="15.75" customHeight="1">
      <x:c r="A309" s="1"/>
      <x:c r="B309" s="37"/>
      <x:c r="C309" s="38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1"/>
      <x:c r="Y309" s="1"/>
      <x:c r="Z309" s="1"/>
      <x:c r="AA309" s="1"/>
      <x:c r="AB309" s="1"/>
      <x:c r="AC309" s="1"/>
      <x:c r="AD309" s="1"/>
      <x:c r="AE309" s="1"/>
      <x:c r="AF309" s="1"/>
    </x:row>
    <x:row r="310" ht="15.75" customHeight="1">
      <x:c r="A310" s="1"/>
      <x:c r="B310" s="37"/>
      <x:c r="C310" s="38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1"/>
      <x:c r="Y310" s="1"/>
      <x:c r="Z310" s="1"/>
      <x:c r="AA310" s="1"/>
      <x:c r="AB310" s="1"/>
      <x:c r="AC310" s="1"/>
      <x:c r="AD310" s="1"/>
      <x:c r="AE310" s="1"/>
      <x:c r="AF310" s="1"/>
    </x:row>
    <x:row r="311" ht="15.75" customHeight="1">
      <x:c r="A311" s="1"/>
      <x:c r="B311" s="37"/>
      <x:c r="C311" s="38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1"/>
      <x:c r="Y311" s="1"/>
      <x:c r="Z311" s="1"/>
      <x:c r="AA311" s="1"/>
      <x:c r="AB311" s="1"/>
      <x:c r="AC311" s="1"/>
      <x:c r="AD311" s="1"/>
      <x:c r="AE311" s="1"/>
      <x:c r="AF311" s="1"/>
    </x:row>
    <x:row r="312" ht="15.75" customHeight="1">
      <x:c r="A312" s="1"/>
      <x:c r="B312" s="37"/>
      <x:c r="C312" s="38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1"/>
      <x:c r="Y312" s="1"/>
      <x:c r="Z312" s="1"/>
      <x:c r="AA312" s="1"/>
      <x:c r="AB312" s="1"/>
      <x:c r="AC312" s="1"/>
      <x:c r="AD312" s="1"/>
      <x:c r="AE312" s="1"/>
      <x:c r="AF312" s="1"/>
    </x:row>
    <x:row r="313" ht="15.75" customHeight="1">
      <x:c r="A313" s="1"/>
      <x:c r="B313" s="37"/>
      <x:c r="C313" s="38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1"/>
      <x:c r="Y313" s="1"/>
      <x:c r="Z313" s="1"/>
      <x:c r="AA313" s="1"/>
      <x:c r="AB313" s="1"/>
      <x:c r="AC313" s="1"/>
      <x:c r="AD313" s="1"/>
      <x:c r="AE313" s="1"/>
      <x:c r="AF313" s="1"/>
    </x:row>
    <x:row r="314" ht="15.75" customHeight="1">
      <x:c r="A314" s="1"/>
      <x:c r="B314" s="37"/>
      <x:c r="C314" s="38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1"/>
      <x:c r="Y314" s="1"/>
      <x:c r="Z314" s="1"/>
      <x:c r="AA314" s="1"/>
      <x:c r="AB314" s="1"/>
      <x:c r="AC314" s="1"/>
      <x:c r="AD314" s="1"/>
      <x:c r="AE314" s="1"/>
      <x:c r="AF314" s="1"/>
    </x:row>
    <x:row r="315" ht="15.75" customHeight="1">
      <x:c r="A315" s="1"/>
      <x:c r="B315" s="37"/>
      <x:c r="C315" s="38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1"/>
      <x:c r="Y315" s="1"/>
      <x:c r="Z315" s="1"/>
      <x:c r="AA315" s="1"/>
      <x:c r="AB315" s="1"/>
      <x:c r="AC315" s="1"/>
      <x:c r="AD315" s="1"/>
      <x:c r="AE315" s="1"/>
      <x:c r="AF315" s="1"/>
    </x:row>
    <x:row r="316" ht="15.75" customHeight="1">
      <x:c r="A316" s="1"/>
      <x:c r="B316" s="37"/>
      <x:c r="C316" s="38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1"/>
      <x:c r="Y316" s="1"/>
      <x:c r="Z316" s="1"/>
      <x:c r="AA316" s="1"/>
      <x:c r="AB316" s="1"/>
      <x:c r="AC316" s="1"/>
      <x:c r="AD316" s="1"/>
      <x:c r="AE316" s="1"/>
      <x:c r="AF316" s="1"/>
    </x:row>
    <x:row r="317" ht="15.75" customHeight="1">
      <x:c r="A317" s="1"/>
      <x:c r="B317" s="37"/>
      <x:c r="C317" s="38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1"/>
      <x:c r="Y317" s="1"/>
      <x:c r="Z317" s="1"/>
      <x:c r="AA317" s="1"/>
      <x:c r="AB317" s="1"/>
      <x:c r="AC317" s="1"/>
      <x:c r="AD317" s="1"/>
      <x:c r="AE317" s="1"/>
      <x:c r="AF317" s="1"/>
    </x:row>
    <x:row r="318" ht="15.75" customHeight="1">
      <x:c r="A318" s="1"/>
      <x:c r="B318" s="37"/>
      <x:c r="C318" s="38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1"/>
      <x:c r="Y318" s="1"/>
      <x:c r="Z318" s="1"/>
      <x:c r="AA318" s="1"/>
      <x:c r="AB318" s="1"/>
      <x:c r="AC318" s="1"/>
      <x:c r="AD318" s="1"/>
      <x:c r="AE318" s="1"/>
      <x:c r="AF318" s="1"/>
    </x:row>
    <x:row r="319" ht="15.75" customHeight="1">
      <x:c r="A319" s="1"/>
      <x:c r="B319" s="37"/>
      <x:c r="C319" s="38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1"/>
      <x:c r="Y319" s="1"/>
      <x:c r="Z319" s="1"/>
      <x:c r="AA319" s="1"/>
      <x:c r="AB319" s="1"/>
      <x:c r="AC319" s="1"/>
      <x:c r="AD319" s="1"/>
      <x:c r="AE319" s="1"/>
      <x:c r="AF319" s="1"/>
    </x:row>
    <x:row r="320" ht="15.75" customHeight="1">
      <x:c r="A320" s="1"/>
      <x:c r="B320" s="37"/>
      <x:c r="C320" s="38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1"/>
      <x:c r="Y320" s="1"/>
      <x:c r="Z320" s="1"/>
      <x:c r="AA320" s="1"/>
      <x:c r="AB320" s="1"/>
      <x:c r="AC320" s="1"/>
      <x:c r="AD320" s="1"/>
      <x:c r="AE320" s="1"/>
      <x:c r="AF320" s="1"/>
    </x:row>
    <x:row r="321" ht="15.75" customHeight="1">
      <x:c r="A321" s="1"/>
      <x:c r="B321" s="37"/>
      <x:c r="C321" s="38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1"/>
      <x:c r="Y321" s="1"/>
      <x:c r="Z321" s="1"/>
      <x:c r="AA321" s="1"/>
      <x:c r="AB321" s="1"/>
      <x:c r="AC321" s="1"/>
      <x:c r="AD321" s="1"/>
      <x:c r="AE321" s="1"/>
      <x:c r="AF321" s="1"/>
    </x:row>
    <x:row r="322" ht="15.75" customHeight="1">
      <x:c r="A322" s="1"/>
      <x:c r="B322" s="37"/>
      <x:c r="C322" s="38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1"/>
      <x:c r="Y322" s="1"/>
      <x:c r="Z322" s="1"/>
      <x:c r="AA322" s="1"/>
      <x:c r="AB322" s="1"/>
      <x:c r="AC322" s="1"/>
      <x:c r="AD322" s="1"/>
      <x:c r="AE322" s="1"/>
      <x:c r="AF322" s="1"/>
    </x:row>
    <x:row r="323" ht="15.75" customHeight="1">
      <x:c r="A323" s="1"/>
      <x:c r="B323" s="37"/>
      <x:c r="C323" s="38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1"/>
      <x:c r="Y323" s="1"/>
      <x:c r="Z323" s="1"/>
      <x:c r="AA323" s="1"/>
      <x:c r="AB323" s="1"/>
      <x:c r="AC323" s="1"/>
      <x:c r="AD323" s="1"/>
      <x:c r="AE323" s="1"/>
      <x:c r="AF323" s="1"/>
    </x:row>
    <x:row r="324" ht="15.75" customHeight="1">
      <x:c r="A324" s="1"/>
      <x:c r="B324" s="37"/>
      <x:c r="C324" s="38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1"/>
      <x:c r="Y324" s="1"/>
      <x:c r="Z324" s="1"/>
      <x:c r="AA324" s="1"/>
      <x:c r="AB324" s="1"/>
      <x:c r="AC324" s="1"/>
      <x:c r="AD324" s="1"/>
      <x:c r="AE324" s="1"/>
      <x:c r="AF324" s="1"/>
    </x:row>
    <x:row r="325" ht="15.75" customHeight="1">
      <x:c r="A325" s="1"/>
      <x:c r="B325" s="37"/>
      <x:c r="C325" s="38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1"/>
      <x:c r="Y325" s="1"/>
      <x:c r="Z325" s="1"/>
      <x:c r="AA325" s="1"/>
      <x:c r="AB325" s="1"/>
      <x:c r="AC325" s="1"/>
      <x:c r="AD325" s="1"/>
      <x:c r="AE325" s="1"/>
      <x:c r="AF325" s="1"/>
    </x:row>
    <x:row r="326" ht="15.75" customHeight="1">
      <x:c r="A326" s="1"/>
      <x:c r="B326" s="37"/>
      <x:c r="C326" s="38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1"/>
      <x:c r="Y326" s="1"/>
      <x:c r="Z326" s="1"/>
      <x:c r="AA326" s="1"/>
      <x:c r="AB326" s="1"/>
      <x:c r="AC326" s="1"/>
      <x:c r="AD326" s="1"/>
      <x:c r="AE326" s="1"/>
      <x:c r="AF326" s="1"/>
    </x:row>
    <x:row r="327" ht="15.75" customHeight="1">
      <x:c r="A327" s="1"/>
      <x:c r="B327" s="37"/>
      <x:c r="C327" s="38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1"/>
      <x:c r="Y327" s="1"/>
      <x:c r="Z327" s="1"/>
      <x:c r="AA327" s="1"/>
      <x:c r="AB327" s="1"/>
      <x:c r="AC327" s="1"/>
      <x:c r="AD327" s="1"/>
      <x:c r="AE327" s="1"/>
      <x:c r="AF327" s="1"/>
    </x:row>
    <x:row r="328" ht="15.75" customHeight="1">
      <x:c r="A328" s="1"/>
      <x:c r="B328" s="37"/>
      <x:c r="C328" s="38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1"/>
      <x:c r="Y328" s="1"/>
      <x:c r="Z328" s="1"/>
      <x:c r="AA328" s="1"/>
      <x:c r="AB328" s="1"/>
      <x:c r="AC328" s="1"/>
      <x:c r="AD328" s="1"/>
      <x:c r="AE328" s="1"/>
      <x:c r="AF328" s="1"/>
    </x:row>
    <x:row r="329" ht="15.75" customHeight="1">
      <x:c r="A329" s="1"/>
      <x:c r="B329" s="37"/>
      <x:c r="C329" s="38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1"/>
      <x:c r="Y329" s="1"/>
      <x:c r="Z329" s="1"/>
      <x:c r="AA329" s="1"/>
      <x:c r="AB329" s="1"/>
      <x:c r="AC329" s="1"/>
      <x:c r="AD329" s="1"/>
      <x:c r="AE329" s="1"/>
      <x:c r="AF329" s="1"/>
    </x:row>
    <x:row r="330" ht="15.75" customHeight="1">
      <x:c r="A330" s="1"/>
      <x:c r="B330" s="37"/>
      <x:c r="C330" s="38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1"/>
      <x:c r="Y330" s="1"/>
      <x:c r="Z330" s="1"/>
      <x:c r="AA330" s="1"/>
      <x:c r="AB330" s="1"/>
      <x:c r="AC330" s="1"/>
      <x:c r="AD330" s="1"/>
      <x:c r="AE330" s="1"/>
      <x:c r="AF330" s="1"/>
    </x:row>
    <x:row r="331" ht="15.75" customHeight="1">
      <x:c r="A331" s="1"/>
      <x:c r="B331" s="37"/>
      <x:c r="C331" s="38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1"/>
      <x:c r="Y331" s="1"/>
      <x:c r="Z331" s="1"/>
      <x:c r="AA331" s="1"/>
      <x:c r="AB331" s="1"/>
      <x:c r="AC331" s="1"/>
      <x:c r="AD331" s="1"/>
      <x:c r="AE331" s="1"/>
      <x:c r="AF331" s="1"/>
    </x:row>
    <x:row r="332" ht="15.75" customHeight="1">
      <x:c r="A332" s="1"/>
      <x:c r="B332" s="37"/>
      <x:c r="C332" s="38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1"/>
      <x:c r="Y332" s="1"/>
      <x:c r="Z332" s="1"/>
      <x:c r="AA332" s="1"/>
      <x:c r="AB332" s="1"/>
      <x:c r="AC332" s="1"/>
      <x:c r="AD332" s="1"/>
      <x:c r="AE332" s="1"/>
      <x:c r="AF332" s="1"/>
    </x:row>
    <x:row r="333" ht="15.75" customHeight="1">
      <x:c r="A333" s="1"/>
      <x:c r="B333" s="37"/>
      <x:c r="C333" s="38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1"/>
      <x:c r="Y333" s="1"/>
      <x:c r="Z333" s="1"/>
      <x:c r="AA333" s="1"/>
      <x:c r="AB333" s="1"/>
      <x:c r="AC333" s="1"/>
      <x:c r="AD333" s="1"/>
      <x:c r="AE333" s="1"/>
      <x:c r="AF333" s="1"/>
    </x:row>
    <x:row r="334" ht="15.75" customHeight="1">
      <x:c r="A334" s="1"/>
      <x:c r="B334" s="37"/>
      <x:c r="C334" s="38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1"/>
      <x:c r="Y334" s="1"/>
      <x:c r="Z334" s="1"/>
      <x:c r="AA334" s="1"/>
      <x:c r="AB334" s="1"/>
      <x:c r="AC334" s="1"/>
      <x:c r="AD334" s="1"/>
      <x:c r="AE334" s="1"/>
      <x:c r="AF334" s="1"/>
    </x:row>
    <x:row r="335" ht="15.75" customHeight="1">
      <x:c r="A335" s="1"/>
      <x:c r="B335" s="37"/>
      <x:c r="C335" s="38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1"/>
      <x:c r="Y335" s="1"/>
      <x:c r="Z335" s="1"/>
      <x:c r="AA335" s="1"/>
      <x:c r="AB335" s="1"/>
      <x:c r="AC335" s="1"/>
      <x:c r="AD335" s="1"/>
      <x:c r="AE335" s="1"/>
      <x:c r="AF335" s="1"/>
    </x:row>
    <x:row r="336" ht="15.75" customHeight="1">
      <x:c r="A336" s="1"/>
      <x:c r="B336" s="37"/>
      <x:c r="C336" s="38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1"/>
      <x:c r="Y336" s="1"/>
      <x:c r="Z336" s="1"/>
      <x:c r="AA336" s="1"/>
      <x:c r="AB336" s="1"/>
      <x:c r="AC336" s="1"/>
      <x:c r="AD336" s="1"/>
      <x:c r="AE336" s="1"/>
      <x:c r="AF336" s="1"/>
    </x:row>
    <x:row r="337" ht="15.75" customHeight="1">
      <x:c r="A337" s="1"/>
      <x:c r="B337" s="37"/>
      <x:c r="C337" s="38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1"/>
      <x:c r="Y337" s="1"/>
      <x:c r="Z337" s="1"/>
      <x:c r="AA337" s="1"/>
      <x:c r="AB337" s="1"/>
      <x:c r="AC337" s="1"/>
      <x:c r="AD337" s="1"/>
      <x:c r="AE337" s="1"/>
      <x:c r="AF337" s="1"/>
    </x:row>
    <x:row r="338" ht="15.75" customHeight="1">
      <x:c r="A338" s="1"/>
      <x:c r="B338" s="37"/>
      <x:c r="C338" s="38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1"/>
      <x:c r="Y338" s="1"/>
      <x:c r="Z338" s="1"/>
      <x:c r="AA338" s="1"/>
      <x:c r="AB338" s="1"/>
      <x:c r="AC338" s="1"/>
      <x:c r="AD338" s="1"/>
      <x:c r="AE338" s="1"/>
      <x:c r="AF338" s="1"/>
    </x:row>
    <x:row r="339" ht="15.75" customHeight="1">
      <x:c r="A339" s="1"/>
      <x:c r="B339" s="37"/>
      <x:c r="C339" s="38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1"/>
      <x:c r="Y339" s="1"/>
      <x:c r="Z339" s="1"/>
      <x:c r="AA339" s="1"/>
      <x:c r="AB339" s="1"/>
      <x:c r="AC339" s="1"/>
      <x:c r="AD339" s="1"/>
      <x:c r="AE339" s="1"/>
      <x:c r="AF339" s="1"/>
    </x:row>
    <x:row r="340" ht="15.75" customHeight="1">
      <x:c r="A340" s="1"/>
      <x:c r="B340" s="37"/>
      <x:c r="C340" s="38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1"/>
      <x:c r="Y340" s="1"/>
      <x:c r="Z340" s="1"/>
      <x:c r="AA340" s="1"/>
      <x:c r="AB340" s="1"/>
      <x:c r="AC340" s="1"/>
      <x:c r="AD340" s="1"/>
      <x:c r="AE340" s="1"/>
      <x:c r="AF340" s="1"/>
    </x:row>
    <x:row r="341" ht="15.75" customHeight="1">
      <x:c r="A341" s="1"/>
      <x:c r="B341" s="37"/>
      <x:c r="C341" s="38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1"/>
      <x:c r="Y341" s="1"/>
      <x:c r="Z341" s="1"/>
      <x:c r="AA341" s="1"/>
      <x:c r="AB341" s="1"/>
      <x:c r="AC341" s="1"/>
      <x:c r="AD341" s="1"/>
      <x:c r="AE341" s="1"/>
      <x:c r="AF341" s="1"/>
    </x:row>
    <x:row r="342" ht="15.75" customHeight="1">
      <x:c r="A342" s="1"/>
      <x:c r="B342" s="37"/>
      <x:c r="C342" s="38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1"/>
      <x:c r="Y342" s="1"/>
      <x:c r="Z342" s="1"/>
      <x:c r="AA342" s="1"/>
      <x:c r="AB342" s="1"/>
      <x:c r="AC342" s="1"/>
      <x:c r="AD342" s="1"/>
      <x:c r="AE342" s="1"/>
      <x:c r="AF342" s="1"/>
    </x:row>
    <x:row r="343" ht="15.75" customHeight="1">
      <x:c r="A343" s="1"/>
      <x:c r="B343" s="37"/>
      <x:c r="C343" s="38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1"/>
      <x:c r="Y343" s="1"/>
      <x:c r="Z343" s="1"/>
      <x:c r="AA343" s="1"/>
      <x:c r="AB343" s="1"/>
      <x:c r="AC343" s="1"/>
      <x:c r="AD343" s="1"/>
      <x:c r="AE343" s="1"/>
      <x:c r="AF343" s="1"/>
    </x:row>
    <x:row r="344" ht="15.75" customHeight="1">
      <x:c r="A344" s="1"/>
      <x:c r="B344" s="37"/>
      <x:c r="C344" s="38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1"/>
      <x:c r="Y344" s="1"/>
      <x:c r="Z344" s="1"/>
      <x:c r="AA344" s="1"/>
      <x:c r="AB344" s="1"/>
      <x:c r="AC344" s="1"/>
      <x:c r="AD344" s="1"/>
      <x:c r="AE344" s="1"/>
      <x:c r="AF344" s="1"/>
    </x:row>
    <x:row r="345" ht="15.75" customHeight="1">
      <x:c r="A345" s="1"/>
      <x:c r="B345" s="37"/>
      <x:c r="C345" s="38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1"/>
      <x:c r="Y345" s="1"/>
      <x:c r="Z345" s="1"/>
      <x:c r="AA345" s="1"/>
      <x:c r="AB345" s="1"/>
      <x:c r="AC345" s="1"/>
      <x:c r="AD345" s="1"/>
      <x:c r="AE345" s="1"/>
      <x:c r="AF345" s="1"/>
    </x:row>
    <x:row r="346" ht="15.75" customHeight="1">
      <x:c r="A346" s="1"/>
      <x:c r="B346" s="37"/>
      <x:c r="C346" s="38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1"/>
      <x:c r="Y346" s="1"/>
      <x:c r="Z346" s="1"/>
      <x:c r="AA346" s="1"/>
      <x:c r="AB346" s="1"/>
      <x:c r="AC346" s="1"/>
      <x:c r="AD346" s="1"/>
      <x:c r="AE346" s="1"/>
      <x:c r="AF346" s="1"/>
    </x:row>
    <x:row r="347" ht="15.75" customHeight="1">
      <x:c r="A347" s="1"/>
      <x:c r="B347" s="37"/>
      <x:c r="C347" s="38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1"/>
      <x:c r="Y347" s="1"/>
      <x:c r="Z347" s="1"/>
      <x:c r="AA347" s="1"/>
      <x:c r="AB347" s="1"/>
      <x:c r="AC347" s="1"/>
      <x:c r="AD347" s="1"/>
      <x:c r="AE347" s="1"/>
      <x:c r="AF347" s="1"/>
    </x:row>
    <x:row r="348" ht="15.75" customHeight="1">
      <x:c r="A348" s="1"/>
      <x:c r="B348" s="37"/>
      <x:c r="C348" s="38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1"/>
      <x:c r="Y348" s="1"/>
      <x:c r="Z348" s="1"/>
      <x:c r="AA348" s="1"/>
      <x:c r="AB348" s="1"/>
      <x:c r="AC348" s="1"/>
      <x:c r="AD348" s="1"/>
      <x:c r="AE348" s="1"/>
      <x:c r="AF348" s="1"/>
    </x:row>
    <x:row r="349" ht="15.75" customHeight="1">
      <x:c r="A349" s="1"/>
      <x:c r="B349" s="37"/>
      <x:c r="C349" s="38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1"/>
      <x:c r="Y349" s="1"/>
      <x:c r="Z349" s="1"/>
      <x:c r="AA349" s="1"/>
      <x:c r="AB349" s="1"/>
      <x:c r="AC349" s="1"/>
      <x:c r="AD349" s="1"/>
      <x:c r="AE349" s="1"/>
      <x:c r="AF349" s="1"/>
    </x:row>
    <x:row r="350" ht="15.75" customHeight="1">
      <x:c r="A350" s="1"/>
      <x:c r="B350" s="37"/>
      <x:c r="C350" s="38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1"/>
      <x:c r="Y350" s="1"/>
      <x:c r="Z350" s="1"/>
      <x:c r="AA350" s="1"/>
      <x:c r="AB350" s="1"/>
      <x:c r="AC350" s="1"/>
      <x:c r="AD350" s="1"/>
      <x:c r="AE350" s="1"/>
      <x:c r="AF350" s="1"/>
    </x:row>
    <x:row r="351" ht="15.75" customHeight="1">
      <x:c r="A351" s="1"/>
      <x:c r="B351" s="37"/>
      <x:c r="C351" s="38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1"/>
      <x:c r="Y351" s="1"/>
      <x:c r="Z351" s="1"/>
      <x:c r="AA351" s="1"/>
      <x:c r="AB351" s="1"/>
      <x:c r="AC351" s="1"/>
      <x:c r="AD351" s="1"/>
      <x:c r="AE351" s="1"/>
      <x:c r="AF351" s="1"/>
    </x:row>
    <x:row r="352" ht="15.75" customHeight="1">
      <x:c r="A352" s="1"/>
      <x:c r="B352" s="37"/>
      <x:c r="C352" s="38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1"/>
      <x:c r="Y352" s="1"/>
      <x:c r="Z352" s="1"/>
      <x:c r="AA352" s="1"/>
      <x:c r="AB352" s="1"/>
      <x:c r="AC352" s="1"/>
      <x:c r="AD352" s="1"/>
      <x:c r="AE352" s="1"/>
      <x:c r="AF352" s="1"/>
    </x:row>
    <x:row r="353" ht="15.75" customHeight="1">
      <x:c r="A353" s="1"/>
      <x:c r="B353" s="37"/>
      <x:c r="C353" s="38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1"/>
      <x:c r="Y353" s="1"/>
      <x:c r="Z353" s="1"/>
      <x:c r="AA353" s="1"/>
      <x:c r="AB353" s="1"/>
      <x:c r="AC353" s="1"/>
      <x:c r="AD353" s="1"/>
      <x:c r="AE353" s="1"/>
      <x:c r="AF353" s="1"/>
    </x:row>
    <x:row r="354" ht="15.75" customHeight="1">
      <x:c r="A354" s="1"/>
      <x:c r="B354" s="37"/>
      <x:c r="C354" s="38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1"/>
      <x:c r="Y354" s="1"/>
      <x:c r="Z354" s="1"/>
      <x:c r="AA354" s="1"/>
      <x:c r="AB354" s="1"/>
      <x:c r="AC354" s="1"/>
      <x:c r="AD354" s="1"/>
      <x:c r="AE354" s="1"/>
      <x:c r="AF354" s="1"/>
    </x:row>
    <x:row r="355" ht="15.75" customHeight="1">
      <x:c r="A355" s="1"/>
      <x:c r="B355" s="37"/>
      <x:c r="C355" s="38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1"/>
      <x:c r="Y355" s="1"/>
      <x:c r="Z355" s="1"/>
      <x:c r="AA355" s="1"/>
      <x:c r="AB355" s="1"/>
      <x:c r="AC355" s="1"/>
      <x:c r="AD355" s="1"/>
      <x:c r="AE355" s="1"/>
      <x:c r="AF355" s="1"/>
    </x:row>
    <x:row r="356" ht="15.75" customHeight="1">
      <x:c r="A356" s="1"/>
      <x:c r="B356" s="37"/>
      <x:c r="C356" s="38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1"/>
      <x:c r="Y356" s="1"/>
      <x:c r="Z356" s="1"/>
      <x:c r="AA356" s="1"/>
      <x:c r="AB356" s="1"/>
      <x:c r="AC356" s="1"/>
      <x:c r="AD356" s="1"/>
      <x:c r="AE356" s="1"/>
      <x:c r="AF356" s="1"/>
    </x:row>
    <x:row r="357" ht="15.75" customHeight="1">
      <x:c r="A357" s="1"/>
      <x:c r="B357" s="37"/>
      <x:c r="C357" s="38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1"/>
      <x:c r="Y357" s="1"/>
      <x:c r="Z357" s="1"/>
      <x:c r="AA357" s="1"/>
      <x:c r="AB357" s="1"/>
      <x:c r="AC357" s="1"/>
      <x:c r="AD357" s="1"/>
      <x:c r="AE357" s="1"/>
      <x:c r="AF357" s="1"/>
    </x:row>
    <x:row r="358" ht="15.75" customHeight="1">
      <x:c r="A358" s="1"/>
      <x:c r="B358" s="37"/>
      <x:c r="C358" s="38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1"/>
      <x:c r="Y358" s="1"/>
      <x:c r="Z358" s="1"/>
      <x:c r="AA358" s="1"/>
      <x:c r="AB358" s="1"/>
      <x:c r="AC358" s="1"/>
      <x:c r="AD358" s="1"/>
      <x:c r="AE358" s="1"/>
      <x:c r="AF358" s="1"/>
    </x:row>
    <x:row r="359" ht="15.75" customHeight="1">
      <x:c r="A359" s="1"/>
      <x:c r="B359" s="37"/>
      <x:c r="C359" s="38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1"/>
      <x:c r="Y359" s="1"/>
      <x:c r="Z359" s="1"/>
      <x:c r="AA359" s="1"/>
      <x:c r="AB359" s="1"/>
      <x:c r="AC359" s="1"/>
      <x:c r="AD359" s="1"/>
      <x:c r="AE359" s="1"/>
      <x:c r="AF359" s="1"/>
    </x:row>
    <x:row r="360" ht="15.75" customHeight="1">
      <x:c r="A360" s="1"/>
      <x:c r="B360" s="37"/>
      <x:c r="C360" s="38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1"/>
      <x:c r="Y360" s="1"/>
      <x:c r="Z360" s="1"/>
      <x:c r="AA360" s="1"/>
      <x:c r="AB360" s="1"/>
      <x:c r="AC360" s="1"/>
      <x:c r="AD360" s="1"/>
      <x:c r="AE360" s="1"/>
      <x:c r="AF360" s="1"/>
    </x:row>
    <x:row r="361" ht="15.75" customHeight="1">
      <x:c r="A361" s="1"/>
      <x:c r="B361" s="37"/>
      <x:c r="C361" s="38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1"/>
      <x:c r="Y361" s="1"/>
      <x:c r="Z361" s="1"/>
      <x:c r="AA361" s="1"/>
      <x:c r="AB361" s="1"/>
      <x:c r="AC361" s="1"/>
      <x:c r="AD361" s="1"/>
      <x:c r="AE361" s="1"/>
      <x:c r="AF361" s="1"/>
    </x:row>
    <x:row r="362" ht="15.75" customHeight="1">
      <x:c r="A362" s="1"/>
      <x:c r="B362" s="37"/>
      <x:c r="C362" s="38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1"/>
      <x:c r="Y362" s="1"/>
      <x:c r="Z362" s="1"/>
      <x:c r="AA362" s="1"/>
      <x:c r="AB362" s="1"/>
      <x:c r="AC362" s="1"/>
      <x:c r="AD362" s="1"/>
      <x:c r="AE362" s="1"/>
      <x:c r="AF362" s="1"/>
    </x:row>
    <x:row r="363" ht="15.75" customHeight="1">
      <x:c r="A363" s="1"/>
      <x:c r="B363" s="37"/>
      <x:c r="C363" s="38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1"/>
      <x:c r="Y363" s="1"/>
      <x:c r="Z363" s="1"/>
      <x:c r="AA363" s="1"/>
      <x:c r="AB363" s="1"/>
      <x:c r="AC363" s="1"/>
      <x:c r="AD363" s="1"/>
      <x:c r="AE363" s="1"/>
      <x:c r="AF363" s="1"/>
    </x:row>
    <x:row r="364" ht="15.75" customHeight="1">
      <x:c r="A364" s="1"/>
      <x:c r="B364" s="37"/>
      <x:c r="C364" s="38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1"/>
      <x:c r="Y364" s="1"/>
      <x:c r="Z364" s="1"/>
      <x:c r="AA364" s="1"/>
      <x:c r="AB364" s="1"/>
      <x:c r="AC364" s="1"/>
      <x:c r="AD364" s="1"/>
      <x:c r="AE364" s="1"/>
      <x:c r="AF364" s="1"/>
    </x:row>
    <x:row r="365" ht="15.75" customHeight="1">
      <x:c r="A365" s="1"/>
      <x:c r="B365" s="37"/>
      <x:c r="C365" s="38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1"/>
      <x:c r="Y365" s="1"/>
      <x:c r="Z365" s="1"/>
      <x:c r="AA365" s="1"/>
      <x:c r="AB365" s="1"/>
      <x:c r="AC365" s="1"/>
      <x:c r="AD365" s="1"/>
      <x:c r="AE365" s="1"/>
      <x:c r="AF365" s="1"/>
    </x:row>
    <x:row r="366" ht="15.75" customHeight="1">
      <x:c r="A366" s="1"/>
      <x:c r="B366" s="37"/>
      <x:c r="C366" s="38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1"/>
      <x:c r="Y366" s="1"/>
      <x:c r="Z366" s="1"/>
      <x:c r="AA366" s="1"/>
      <x:c r="AB366" s="1"/>
      <x:c r="AC366" s="1"/>
      <x:c r="AD366" s="1"/>
      <x:c r="AE366" s="1"/>
      <x:c r="AF366" s="1"/>
    </x:row>
    <x:row r="367" ht="15.75" customHeight="1">
      <x:c r="A367" s="1"/>
      <x:c r="B367" s="37"/>
      <x:c r="C367" s="38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1"/>
      <x:c r="Y367" s="1"/>
      <x:c r="Z367" s="1"/>
      <x:c r="AA367" s="1"/>
      <x:c r="AB367" s="1"/>
      <x:c r="AC367" s="1"/>
      <x:c r="AD367" s="1"/>
      <x:c r="AE367" s="1"/>
      <x:c r="AF367" s="1"/>
    </x:row>
    <x:row r="368" ht="15.75" customHeight="1">
      <x:c r="A368" s="1"/>
      <x:c r="B368" s="37"/>
      <x:c r="C368" s="38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1"/>
      <x:c r="Y368" s="1"/>
      <x:c r="Z368" s="1"/>
      <x:c r="AA368" s="1"/>
      <x:c r="AB368" s="1"/>
      <x:c r="AC368" s="1"/>
      <x:c r="AD368" s="1"/>
      <x:c r="AE368" s="1"/>
      <x:c r="AF368" s="1"/>
    </x:row>
    <x:row r="369" ht="15.75" customHeight="1">
      <x:c r="A369" s="1"/>
      <x:c r="B369" s="37"/>
      <x:c r="C369" s="38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1"/>
      <x:c r="Y369" s="1"/>
      <x:c r="Z369" s="1"/>
      <x:c r="AA369" s="1"/>
      <x:c r="AB369" s="1"/>
      <x:c r="AC369" s="1"/>
      <x:c r="AD369" s="1"/>
      <x:c r="AE369" s="1"/>
      <x:c r="AF369" s="1"/>
    </x:row>
    <x:row r="370" ht="15.75" customHeight="1">
      <x:c r="A370" s="1"/>
      <x:c r="B370" s="37"/>
      <x:c r="C370" s="38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1"/>
      <x:c r="Y370" s="1"/>
      <x:c r="Z370" s="1"/>
      <x:c r="AA370" s="1"/>
      <x:c r="AB370" s="1"/>
      <x:c r="AC370" s="1"/>
      <x:c r="AD370" s="1"/>
      <x:c r="AE370" s="1"/>
      <x:c r="AF370" s="1"/>
    </x:row>
    <x:row r="371" ht="15.75" customHeight="1">
      <x:c r="A371" s="1"/>
      <x:c r="B371" s="37"/>
      <x:c r="C371" s="38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1"/>
      <x:c r="Y371" s="1"/>
      <x:c r="Z371" s="1"/>
      <x:c r="AA371" s="1"/>
      <x:c r="AB371" s="1"/>
      <x:c r="AC371" s="1"/>
      <x:c r="AD371" s="1"/>
      <x:c r="AE371" s="1"/>
      <x:c r="AF371" s="1"/>
    </x:row>
    <x:row r="372" ht="15.75" customHeight="1">
      <x:c r="A372" s="1"/>
      <x:c r="B372" s="37"/>
      <x:c r="C372" s="38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1"/>
      <x:c r="Y372" s="1"/>
      <x:c r="Z372" s="1"/>
      <x:c r="AA372" s="1"/>
      <x:c r="AB372" s="1"/>
      <x:c r="AC372" s="1"/>
      <x:c r="AD372" s="1"/>
      <x:c r="AE372" s="1"/>
      <x:c r="AF372" s="1"/>
    </x:row>
    <x:row r="373" ht="15.75" customHeight="1">
      <x:c r="A373" s="1"/>
      <x:c r="B373" s="37"/>
      <x:c r="C373" s="38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1"/>
      <x:c r="Y373" s="1"/>
      <x:c r="Z373" s="1"/>
      <x:c r="AA373" s="1"/>
      <x:c r="AB373" s="1"/>
      <x:c r="AC373" s="1"/>
      <x:c r="AD373" s="1"/>
      <x:c r="AE373" s="1"/>
      <x:c r="AF373" s="1"/>
    </x:row>
    <x:row r="374" ht="15.75" customHeight="1">
      <x:c r="A374" s="1"/>
      <x:c r="B374" s="37"/>
      <x:c r="C374" s="38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1"/>
      <x:c r="Y374" s="1"/>
      <x:c r="Z374" s="1"/>
      <x:c r="AA374" s="1"/>
      <x:c r="AB374" s="1"/>
      <x:c r="AC374" s="1"/>
      <x:c r="AD374" s="1"/>
      <x:c r="AE374" s="1"/>
      <x:c r="AF374" s="1"/>
    </x:row>
    <x:row r="375" ht="15.75" customHeight="1">
      <x:c r="A375" s="1"/>
      <x:c r="B375" s="37"/>
      <x:c r="C375" s="38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1"/>
      <x:c r="Y375" s="1"/>
      <x:c r="Z375" s="1"/>
      <x:c r="AA375" s="1"/>
      <x:c r="AB375" s="1"/>
      <x:c r="AC375" s="1"/>
      <x:c r="AD375" s="1"/>
      <x:c r="AE375" s="1"/>
      <x:c r="AF375" s="1"/>
    </x:row>
    <x:row r="376" ht="15.75" customHeight="1">
      <x:c r="A376" s="1"/>
      <x:c r="B376" s="37"/>
      <x:c r="C376" s="38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1"/>
      <x:c r="Y376" s="1"/>
      <x:c r="Z376" s="1"/>
      <x:c r="AA376" s="1"/>
      <x:c r="AB376" s="1"/>
      <x:c r="AC376" s="1"/>
      <x:c r="AD376" s="1"/>
      <x:c r="AE376" s="1"/>
      <x:c r="AF376" s="1"/>
    </x:row>
    <x:row r="377" ht="15.75" customHeight="1">
      <x:c r="A377" s="1"/>
      <x:c r="B377" s="37"/>
      <x:c r="C377" s="38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1"/>
      <x:c r="Y377" s="1"/>
      <x:c r="Z377" s="1"/>
      <x:c r="AA377" s="1"/>
      <x:c r="AB377" s="1"/>
      <x:c r="AC377" s="1"/>
      <x:c r="AD377" s="1"/>
      <x:c r="AE377" s="1"/>
      <x:c r="AF377" s="1"/>
    </x:row>
    <x:row r="378" ht="15.75" customHeight="1">
      <x:c r="A378" s="1"/>
      <x:c r="B378" s="37"/>
      <x:c r="C378" s="38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1"/>
      <x:c r="Y378" s="1"/>
      <x:c r="Z378" s="1"/>
      <x:c r="AA378" s="1"/>
      <x:c r="AB378" s="1"/>
      <x:c r="AC378" s="1"/>
      <x:c r="AD378" s="1"/>
      <x:c r="AE378" s="1"/>
      <x:c r="AF378" s="1"/>
    </x:row>
    <x:row r="379" ht="15.75" customHeight="1">
      <x:c r="A379" s="1"/>
      <x:c r="B379" s="37"/>
      <x:c r="C379" s="38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1"/>
      <x:c r="Y379" s="1"/>
      <x:c r="Z379" s="1"/>
      <x:c r="AA379" s="1"/>
      <x:c r="AB379" s="1"/>
      <x:c r="AC379" s="1"/>
      <x:c r="AD379" s="1"/>
      <x:c r="AE379" s="1"/>
      <x:c r="AF379" s="1"/>
    </x:row>
    <x:row r="380" ht="15.75" customHeight="1">
      <x:c r="A380" s="1"/>
      <x:c r="B380" s="37"/>
      <x:c r="C380" s="38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1"/>
      <x:c r="Y380" s="1"/>
      <x:c r="Z380" s="1"/>
      <x:c r="AA380" s="1"/>
      <x:c r="AB380" s="1"/>
      <x:c r="AC380" s="1"/>
      <x:c r="AD380" s="1"/>
      <x:c r="AE380" s="1"/>
      <x:c r="AF380" s="1"/>
    </x:row>
    <x:row r="381" ht="15.75" customHeight="1">
      <x:c r="A381" s="1"/>
      <x:c r="B381" s="37"/>
      <x:c r="C381" s="38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1"/>
      <x:c r="Y381" s="1"/>
      <x:c r="Z381" s="1"/>
      <x:c r="AA381" s="1"/>
      <x:c r="AB381" s="1"/>
      <x:c r="AC381" s="1"/>
      <x:c r="AD381" s="1"/>
      <x:c r="AE381" s="1"/>
      <x:c r="AF381" s="1"/>
    </x:row>
    <x:row r="382" ht="15.75" customHeight="1">
      <x:c r="A382" s="1"/>
      <x:c r="B382" s="37"/>
      <x:c r="C382" s="38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1"/>
      <x:c r="Y382" s="1"/>
      <x:c r="Z382" s="1"/>
      <x:c r="AA382" s="1"/>
      <x:c r="AB382" s="1"/>
      <x:c r="AC382" s="1"/>
      <x:c r="AD382" s="1"/>
      <x:c r="AE382" s="1"/>
      <x:c r="AF382" s="1"/>
    </x:row>
    <x:row r="383" ht="15.75" customHeight="1">
      <x:c r="A383" s="1"/>
      <x:c r="B383" s="37"/>
      <x:c r="C383" s="38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1"/>
      <x:c r="Y383" s="1"/>
      <x:c r="Z383" s="1"/>
      <x:c r="AA383" s="1"/>
      <x:c r="AB383" s="1"/>
      <x:c r="AC383" s="1"/>
      <x:c r="AD383" s="1"/>
      <x:c r="AE383" s="1"/>
      <x:c r="AF383" s="1"/>
    </x:row>
    <x:row r="384" ht="15.75" customHeight="1">
      <x:c r="A384" s="1"/>
      <x:c r="B384" s="37"/>
      <x:c r="C384" s="38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1"/>
      <x:c r="Y384" s="1"/>
      <x:c r="Z384" s="1"/>
      <x:c r="AA384" s="1"/>
      <x:c r="AB384" s="1"/>
      <x:c r="AC384" s="1"/>
      <x:c r="AD384" s="1"/>
      <x:c r="AE384" s="1"/>
      <x:c r="AF384" s="1"/>
    </x:row>
    <x:row r="385" ht="15.75" customHeight="1">
      <x:c r="A385" s="1"/>
      <x:c r="B385" s="37"/>
      <x:c r="C385" s="38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1"/>
      <x:c r="Y385" s="1"/>
      <x:c r="Z385" s="1"/>
      <x:c r="AA385" s="1"/>
      <x:c r="AB385" s="1"/>
      <x:c r="AC385" s="1"/>
      <x:c r="AD385" s="1"/>
      <x:c r="AE385" s="1"/>
      <x:c r="AF385" s="1"/>
    </x:row>
    <x:row r="386" ht="15.75" customHeight="1">
      <x:c r="A386" s="1"/>
      <x:c r="B386" s="37"/>
      <x:c r="C386" s="38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1"/>
      <x:c r="Y386" s="1"/>
      <x:c r="Z386" s="1"/>
      <x:c r="AA386" s="1"/>
      <x:c r="AB386" s="1"/>
      <x:c r="AC386" s="1"/>
      <x:c r="AD386" s="1"/>
      <x:c r="AE386" s="1"/>
      <x:c r="AF386" s="1"/>
    </x:row>
    <x:row r="387" ht="15.75" customHeight="1">
      <x:c r="A387" s="1"/>
      <x:c r="B387" s="37"/>
      <x:c r="C387" s="38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1"/>
      <x:c r="Y387" s="1"/>
      <x:c r="Z387" s="1"/>
      <x:c r="AA387" s="1"/>
      <x:c r="AB387" s="1"/>
      <x:c r="AC387" s="1"/>
      <x:c r="AD387" s="1"/>
      <x:c r="AE387" s="1"/>
      <x:c r="AF387" s="1"/>
    </x:row>
    <x:row r="388" ht="15.75" customHeight="1">
      <x:c r="A388" s="1"/>
      <x:c r="B388" s="37"/>
      <x:c r="C388" s="38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1"/>
      <x:c r="Y388" s="1"/>
      <x:c r="Z388" s="1"/>
      <x:c r="AA388" s="1"/>
      <x:c r="AB388" s="1"/>
      <x:c r="AC388" s="1"/>
      <x:c r="AD388" s="1"/>
      <x:c r="AE388" s="1"/>
      <x:c r="AF388" s="1"/>
    </x:row>
    <x:row r="389" ht="15.75" customHeight="1">
      <x:c r="A389" s="1"/>
      <x:c r="B389" s="37"/>
      <x:c r="C389" s="38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1"/>
      <x:c r="Y389" s="1"/>
      <x:c r="Z389" s="1"/>
      <x:c r="AA389" s="1"/>
      <x:c r="AB389" s="1"/>
      <x:c r="AC389" s="1"/>
      <x:c r="AD389" s="1"/>
      <x:c r="AE389" s="1"/>
      <x:c r="AF389" s="1"/>
    </x:row>
    <x:row r="390" ht="15.75" customHeight="1">
      <x:c r="A390" s="1"/>
      <x:c r="B390" s="37"/>
      <x:c r="C390" s="38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1"/>
      <x:c r="Y390" s="1"/>
      <x:c r="Z390" s="1"/>
      <x:c r="AA390" s="1"/>
      <x:c r="AB390" s="1"/>
      <x:c r="AC390" s="1"/>
      <x:c r="AD390" s="1"/>
      <x:c r="AE390" s="1"/>
      <x:c r="AF390" s="1"/>
    </x:row>
    <x:row r="391" ht="15.75" customHeight="1">
      <x:c r="A391" s="1"/>
      <x:c r="B391" s="37"/>
      <x:c r="C391" s="38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1"/>
      <x:c r="Y391" s="1"/>
      <x:c r="Z391" s="1"/>
      <x:c r="AA391" s="1"/>
      <x:c r="AB391" s="1"/>
      <x:c r="AC391" s="1"/>
      <x:c r="AD391" s="1"/>
      <x:c r="AE391" s="1"/>
      <x:c r="AF391" s="1"/>
    </x:row>
    <x:row r="392" ht="15.75" customHeight="1">
      <x:c r="A392" s="1"/>
      <x:c r="B392" s="37"/>
      <x:c r="C392" s="38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1"/>
      <x:c r="Y392" s="1"/>
      <x:c r="Z392" s="1"/>
      <x:c r="AA392" s="1"/>
      <x:c r="AB392" s="1"/>
      <x:c r="AC392" s="1"/>
      <x:c r="AD392" s="1"/>
      <x:c r="AE392" s="1"/>
      <x:c r="AF392" s="1"/>
    </x:row>
    <x:row r="393" ht="15.75" customHeight="1">
      <x:c r="A393" s="1"/>
      <x:c r="B393" s="37"/>
      <x:c r="C393" s="38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1"/>
      <x:c r="Y393" s="1"/>
      <x:c r="Z393" s="1"/>
      <x:c r="AA393" s="1"/>
      <x:c r="AB393" s="1"/>
      <x:c r="AC393" s="1"/>
      <x:c r="AD393" s="1"/>
      <x:c r="AE393" s="1"/>
      <x:c r="AF393" s="1"/>
    </x:row>
    <x:row r="394" ht="15.75" customHeight="1">
      <x:c r="A394" s="1"/>
      <x:c r="B394" s="37"/>
      <x:c r="C394" s="38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1"/>
      <x:c r="Y394" s="1"/>
      <x:c r="Z394" s="1"/>
      <x:c r="AA394" s="1"/>
      <x:c r="AB394" s="1"/>
      <x:c r="AC394" s="1"/>
      <x:c r="AD394" s="1"/>
      <x:c r="AE394" s="1"/>
      <x:c r="AF394" s="1"/>
    </x:row>
    <x:row r="395" ht="15.75" customHeight="1">
      <x:c r="A395" s="1"/>
      <x:c r="B395" s="37"/>
      <x:c r="C395" s="38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1"/>
      <x:c r="Y395" s="1"/>
      <x:c r="Z395" s="1"/>
      <x:c r="AA395" s="1"/>
      <x:c r="AB395" s="1"/>
      <x:c r="AC395" s="1"/>
      <x:c r="AD395" s="1"/>
      <x:c r="AE395" s="1"/>
      <x:c r="AF395" s="1"/>
    </x:row>
    <x:row r="396" ht="15.75" customHeight="1">
      <x:c r="A396" s="1"/>
      <x:c r="B396" s="37"/>
      <x:c r="C396" s="38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1"/>
      <x:c r="Y396" s="1"/>
      <x:c r="Z396" s="1"/>
      <x:c r="AA396" s="1"/>
      <x:c r="AB396" s="1"/>
      <x:c r="AC396" s="1"/>
      <x:c r="AD396" s="1"/>
      <x:c r="AE396" s="1"/>
      <x:c r="AF396" s="1"/>
    </x:row>
    <x:row r="397" ht="15.75" customHeight="1">
      <x:c r="A397" s="1"/>
      <x:c r="B397" s="37"/>
      <x:c r="C397" s="38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1"/>
      <x:c r="Y397" s="1"/>
      <x:c r="Z397" s="1"/>
      <x:c r="AA397" s="1"/>
      <x:c r="AB397" s="1"/>
      <x:c r="AC397" s="1"/>
      <x:c r="AD397" s="1"/>
      <x:c r="AE397" s="1"/>
      <x:c r="AF397" s="1"/>
    </x:row>
    <x:row r="398" ht="15.75" customHeight="1">
      <x:c r="A398" s="1"/>
      <x:c r="B398" s="37"/>
      <x:c r="C398" s="38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1"/>
      <x:c r="Y398" s="1"/>
      <x:c r="Z398" s="1"/>
      <x:c r="AA398" s="1"/>
      <x:c r="AB398" s="1"/>
      <x:c r="AC398" s="1"/>
      <x:c r="AD398" s="1"/>
      <x:c r="AE398" s="1"/>
      <x:c r="AF398" s="1"/>
    </x:row>
    <x:row r="399" ht="15.75" customHeight="1">
      <x:c r="A399" s="1"/>
      <x:c r="B399" s="37"/>
      <x:c r="C399" s="38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1"/>
      <x:c r="Y399" s="1"/>
      <x:c r="Z399" s="1"/>
      <x:c r="AA399" s="1"/>
      <x:c r="AB399" s="1"/>
      <x:c r="AC399" s="1"/>
      <x:c r="AD399" s="1"/>
      <x:c r="AE399" s="1"/>
      <x:c r="AF399" s="1"/>
    </x:row>
    <x:row r="400" ht="15.75" customHeight="1">
      <x:c r="A400" s="1"/>
      <x:c r="B400" s="37"/>
      <x:c r="C400" s="38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1"/>
      <x:c r="Y400" s="1"/>
      <x:c r="Z400" s="1"/>
      <x:c r="AA400" s="1"/>
      <x:c r="AB400" s="1"/>
      <x:c r="AC400" s="1"/>
      <x:c r="AD400" s="1"/>
      <x:c r="AE400" s="1"/>
      <x:c r="AF400" s="1"/>
    </x:row>
    <x:row r="401" ht="15.75" customHeight="1">
      <x:c r="A401" s="1"/>
      <x:c r="B401" s="37"/>
      <x:c r="C401" s="38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1"/>
      <x:c r="Y401" s="1"/>
      <x:c r="Z401" s="1"/>
      <x:c r="AA401" s="1"/>
      <x:c r="AB401" s="1"/>
      <x:c r="AC401" s="1"/>
      <x:c r="AD401" s="1"/>
      <x:c r="AE401" s="1"/>
      <x:c r="AF401" s="1"/>
    </x:row>
    <x:row r="402" ht="15.75" customHeight="1">
      <x:c r="A402" s="1"/>
      <x:c r="B402" s="37"/>
      <x:c r="C402" s="38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1"/>
      <x:c r="Y402" s="1"/>
      <x:c r="Z402" s="1"/>
      <x:c r="AA402" s="1"/>
      <x:c r="AB402" s="1"/>
      <x:c r="AC402" s="1"/>
      <x:c r="AD402" s="1"/>
      <x:c r="AE402" s="1"/>
      <x:c r="AF402" s="1"/>
    </x:row>
    <x:row r="403" ht="15.75" customHeight="1">
      <x:c r="A403" s="1"/>
      <x:c r="B403" s="37"/>
      <x:c r="C403" s="38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1"/>
      <x:c r="Y403" s="1"/>
      <x:c r="Z403" s="1"/>
      <x:c r="AA403" s="1"/>
      <x:c r="AB403" s="1"/>
      <x:c r="AC403" s="1"/>
      <x:c r="AD403" s="1"/>
      <x:c r="AE403" s="1"/>
      <x:c r="AF403" s="1"/>
    </x:row>
    <x:row r="404" ht="15.75" customHeight="1">
      <x:c r="A404" s="1"/>
      <x:c r="B404" s="37"/>
      <x:c r="C404" s="38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1"/>
      <x:c r="Y404" s="1"/>
      <x:c r="Z404" s="1"/>
      <x:c r="AA404" s="1"/>
      <x:c r="AB404" s="1"/>
      <x:c r="AC404" s="1"/>
      <x:c r="AD404" s="1"/>
      <x:c r="AE404" s="1"/>
      <x:c r="AF404" s="1"/>
    </x:row>
    <x:row r="405" ht="15.75" customHeight="1">
      <x:c r="A405" s="1"/>
      <x:c r="B405" s="37"/>
      <x:c r="C405" s="38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1"/>
      <x:c r="Y405" s="1"/>
      <x:c r="Z405" s="1"/>
      <x:c r="AA405" s="1"/>
      <x:c r="AB405" s="1"/>
      <x:c r="AC405" s="1"/>
      <x:c r="AD405" s="1"/>
      <x:c r="AE405" s="1"/>
      <x:c r="AF405" s="1"/>
    </x:row>
    <x:row r="406" ht="15.75" customHeight="1">
      <x:c r="A406" s="1"/>
      <x:c r="B406" s="37"/>
      <x:c r="C406" s="38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1"/>
      <x:c r="Y406" s="1"/>
      <x:c r="Z406" s="1"/>
      <x:c r="AA406" s="1"/>
      <x:c r="AB406" s="1"/>
      <x:c r="AC406" s="1"/>
      <x:c r="AD406" s="1"/>
      <x:c r="AE406" s="1"/>
      <x:c r="AF406" s="1"/>
    </x:row>
    <x:row r="407" ht="15.75" customHeight="1">
      <x:c r="A407" s="1"/>
      <x:c r="B407" s="37"/>
      <x:c r="C407" s="38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1"/>
      <x:c r="Y407" s="1"/>
      <x:c r="Z407" s="1"/>
      <x:c r="AA407" s="1"/>
      <x:c r="AB407" s="1"/>
      <x:c r="AC407" s="1"/>
      <x:c r="AD407" s="1"/>
      <x:c r="AE407" s="1"/>
      <x:c r="AF407" s="1"/>
    </x:row>
    <x:row r="408" ht="15.75" customHeight="1">
      <x:c r="A408" s="1"/>
      <x:c r="B408" s="37"/>
      <x:c r="C408" s="38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1"/>
      <x:c r="Y408" s="1"/>
      <x:c r="Z408" s="1"/>
      <x:c r="AA408" s="1"/>
      <x:c r="AB408" s="1"/>
      <x:c r="AC408" s="1"/>
      <x:c r="AD408" s="1"/>
      <x:c r="AE408" s="1"/>
      <x:c r="AF408" s="1"/>
    </x:row>
    <x:row r="409" ht="15.75" customHeight="1">
      <x:c r="A409" s="1"/>
      <x:c r="B409" s="37"/>
      <x:c r="C409" s="38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1"/>
      <x:c r="Y409" s="1"/>
      <x:c r="Z409" s="1"/>
      <x:c r="AA409" s="1"/>
      <x:c r="AB409" s="1"/>
      <x:c r="AC409" s="1"/>
      <x:c r="AD409" s="1"/>
      <x:c r="AE409" s="1"/>
      <x:c r="AF409" s="1"/>
    </x:row>
    <x:row r="410" ht="15.75" customHeight="1">
      <x:c r="A410" s="1"/>
      <x:c r="B410" s="37"/>
      <x:c r="C410" s="38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1"/>
      <x:c r="Y410" s="1"/>
      <x:c r="Z410" s="1"/>
      <x:c r="AA410" s="1"/>
      <x:c r="AB410" s="1"/>
      <x:c r="AC410" s="1"/>
      <x:c r="AD410" s="1"/>
      <x:c r="AE410" s="1"/>
      <x:c r="AF410" s="1"/>
    </x:row>
    <x:row r="411" ht="15.75" customHeight="1">
      <x:c r="A411" s="1"/>
      <x:c r="B411" s="37"/>
      <x:c r="C411" s="38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1"/>
      <x:c r="Y411" s="1"/>
      <x:c r="Z411" s="1"/>
      <x:c r="AA411" s="1"/>
      <x:c r="AB411" s="1"/>
      <x:c r="AC411" s="1"/>
      <x:c r="AD411" s="1"/>
      <x:c r="AE411" s="1"/>
      <x:c r="AF411" s="1"/>
    </x:row>
    <x:row r="412" ht="15.75" customHeight="1">
      <x:c r="A412" s="1"/>
      <x:c r="B412" s="37"/>
      <x:c r="C412" s="38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1"/>
      <x:c r="Y412" s="1"/>
      <x:c r="Z412" s="1"/>
      <x:c r="AA412" s="1"/>
      <x:c r="AB412" s="1"/>
      <x:c r="AC412" s="1"/>
      <x:c r="AD412" s="1"/>
      <x:c r="AE412" s="1"/>
      <x:c r="AF412" s="1"/>
    </x:row>
    <x:row r="413" ht="15.75" customHeight="1">
      <x:c r="A413" s="1"/>
      <x:c r="B413" s="37"/>
      <x:c r="C413" s="38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1"/>
      <x:c r="Y413" s="1"/>
      <x:c r="Z413" s="1"/>
      <x:c r="AA413" s="1"/>
      <x:c r="AB413" s="1"/>
      <x:c r="AC413" s="1"/>
      <x:c r="AD413" s="1"/>
      <x:c r="AE413" s="1"/>
      <x:c r="AF413" s="1"/>
    </x:row>
    <x:row r="414" ht="15.75" customHeight="1">
      <x:c r="A414" s="1"/>
      <x:c r="B414" s="37"/>
      <x:c r="C414" s="38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1"/>
      <x:c r="Y414" s="1"/>
      <x:c r="Z414" s="1"/>
      <x:c r="AA414" s="1"/>
      <x:c r="AB414" s="1"/>
      <x:c r="AC414" s="1"/>
      <x:c r="AD414" s="1"/>
      <x:c r="AE414" s="1"/>
      <x:c r="AF414" s="1"/>
    </x:row>
    <x:row r="415" ht="15.75" customHeight="1">
      <x:c r="A415" s="1"/>
      <x:c r="B415" s="37"/>
      <x:c r="C415" s="38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1"/>
      <x:c r="Y415" s="1"/>
      <x:c r="Z415" s="1"/>
      <x:c r="AA415" s="1"/>
      <x:c r="AB415" s="1"/>
      <x:c r="AC415" s="1"/>
      <x:c r="AD415" s="1"/>
      <x:c r="AE415" s="1"/>
      <x:c r="AF415" s="1"/>
    </x:row>
    <x:row r="416" ht="15.75" customHeight="1">
      <x:c r="A416" s="1"/>
      <x:c r="B416" s="37"/>
      <x:c r="C416" s="38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1"/>
      <x:c r="Y416" s="1"/>
      <x:c r="Z416" s="1"/>
      <x:c r="AA416" s="1"/>
      <x:c r="AB416" s="1"/>
      <x:c r="AC416" s="1"/>
      <x:c r="AD416" s="1"/>
      <x:c r="AE416" s="1"/>
      <x:c r="AF416" s="1"/>
    </x:row>
    <x:row r="417" ht="15.75" customHeight="1">
      <x:c r="A417" s="1"/>
      <x:c r="B417" s="37"/>
      <x:c r="C417" s="38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1"/>
      <x:c r="Y417" s="1"/>
      <x:c r="Z417" s="1"/>
      <x:c r="AA417" s="1"/>
      <x:c r="AB417" s="1"/>
      <x:c r="AC417" s="1"/>
      <x:c r="AD417" s="1"/>
      <x:c r="AE417" s="1"/>
      <x:c r="AF417" s="1"/>
    </x:row>
    <x:row r="418" ht="15.75" customHeight="1">
      <x:c r="A418" s="1"/>
      <x:c r="B418" s="37"/>
      <x:c r="C418" s="38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1"/>
      <x:c r="Y418" s="1"/>
      <x:c r="Z418" s="1"/>
      <x:c r="AA418" s="1"/>
      <x:c r="AB418" s="1"/>
      <x:c r="AC418" s="1"/>
      <x:c r="AD418" s="1"/>
      <x:c r="AE418" s="1"/>
      <x:c r="AF418" s="1"/>
    </x:row>
    <x:row r="419" ht="15.75" customHeight="1">
      <x:c r="A419" s="1"/>
      <x:c r="B419" s="37"/>
      <x:c r="C419" s="38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1"/>
      <x:c r="Y419" s="1"/>
      <x:c r="Z419" s="1"/>
      <x:c r="AA419" s="1"/>
      <x:c r="AB419" s="1"/>
      <x:c r="AC419" s="1"/>
      <x:c r="AD419" s="1"/>
      <x:c r="AE419" s="1"/>
      <x:c r="AF419" s="1"/>
    </x:row>
    <x:row r="420" ht="15.75" customHeight="1">
      <x:c r="A420" s="1"/>
      <x:c r="B420" s="37"/>
      <x:c r="C420" s="38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1"/>
      <x:c r="Y420" s="1"/>
      <x:c r="Z420" s="1"/>
      <x:c r="AA420" s="1"/>
      <x:c r="AB420" s="1"/>
      <x:c r="AC420" s="1"/>
      <x:c r="AD420" s="1"/>
      <x:c r="AE420" s="1"/>
      <x:c r="AF420" s="1"/>
    </x:row>
    <x:row r="421" ht="15.75" customHeight="1">
      <x:c r="A421" s="1"/>
      <x:c r="B421" s="37"/>
      <x:c r="C421" s="38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1"/>
      <x:c r="Y421" s="1"/>
      <x:c r="Z421" s="1"/>
      <x:c r="AA421" s="1"/>
      <x:c r="AB421" s="1"/>
      <x:c r="AC421" s="1"/>
      <x:c r="AD421" s="1"/>
      <x:c r="AE421" s="1"/>
      <x:c r="AF421" s="1"/>
    </x:row>
    <x:row r="422" ht="15.75" customHeight="1">
      <x:c r="A422" s="1"/>
      <x:c r="B422" s="37"/>
      <x:c r="C422" s="38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1"/>
      <x:c r="Y422" s="1"/>
      <x:c r="Z422" s="1"/>
      <x:c r="AA422" s="1"/>
      <x:c r="AB422" s="1"/>
      <x:c r="AC422" s="1"/>
      <x:c r="AD422" s="1"/>
      <x:c r="AE422" s="1"/>
      <x:c r="AF422" s="1"/>
    </x:row>
    <x:row r="423" ht="15.75" customHeight="1">
      <x:c r="A423" s="1"/>
      <x:c r="B423" s="37"/>
      <x:c r="C423" s="38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1"/>
      <x:c r="Y423" s="1"/>
      <x:c r="Z423" s="1"/>
      <x:c r="AA423" s="1"/>
      <x:c r="AB423" s="1"/>
      <x:c r="AC423" s="1"/>
      <x:c r="AD423" s="1"/>
      <x:c r="AE423" s="1"/>
      <x:c r="AF423" s="1"/>
    </x:row>
    <x:row r="424" ht="15.75" customHeight="1">
      <x:c r="A424" s="1"/>
      <x:c r="B424" s="37"/>
      <x:c r="C424" s="38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1"/>
      <x:c r="Y424" s="1"/>
      <x:c r="Z424" s="1"/>
      <x:c r="AA424" s="1"/>
      <x:c r="AB424" s="1"/>
      <x:c r="AC424" s="1"/>
      <x:c r="AD424" s="1"/>
      <x:c r="AE424" s="1"/>
      <x:c r="AF424" s="1"/>
    </x:row>
    <x:row r="425" ht="15.75" customHeight="1">
      <x:c r="A425" s="1"/>
      <x:c r="B425" s="37"/>
      <x:c r="C425" s="38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1"/>
      <x:c r="Y425" s="1"/>
      <x:c r="Z425" s="1"/>
      <x:c r="AA425" s="1"/>
      <x:c r="AB425" s="1"/>
      <x:c r="AC425" s="1"/>
      <x:c r="AD425" s="1"/>
      <x:c r="AE425" s="1"/>
      <x:c r="AF425" s="1"/>
    </x:row>
    <x:row r="426" ht="15.75" customHeight="1">
      <x:c r="A426" s="1"/>
      <x:c r="B426" s="37"/>
      <x:c r="C426" s="38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1"/>
      <x:c r="Y426" s="1"/>
      <x:c r="Z426" s="1"/>
      <x:c r="AA426" s="1"/>
      <x:c r="AB426" s="1"/>
      <x:c r="AC426" s="1"/>
      <x:c r="AD426" s="1"/>
      <x:c r="AE426" s="1"/>
      <x:c r="AF426" s="1"/>
    </x:row>
    <x:row r="427" ht="15.75" customHeight="1">
      <x:c r="A427" s="1"/>
      <x:c r="B427" s="37"/>
      <x:c r="C427" s="38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1"/>
      <x:c r="Y427" s="1"/>
      <x:c r="Z427" s="1"/>
      <x:c r="AA427" s="1"/>
      <x:c r="AB427" s="1"/>
      <x:c r="AC427" s="1"/>
      <x:c r="AD427" s="1"/>
      <x:c r="AE427" s="1"/>
      <x:c r="AF427" s="1"/>
    </x:row>
    <x:row r="428" ht="15.75" customHeight="1">
      <x:c r="A428" s="1"/>
      <x:c r="B428" s="37"/>
      <x:c r="C428" s="38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1"/>
      <x:c r="Y428" s="1"/>
      <x:c r="Z428" s="1"/>
      <x:c r="AA428" s="1"/>
      <x:c r="AB428" s="1"/>
      <x:c r="AC428" s="1"/>
      <x:c r="AD428" s="1"/>
      <x:c r="AE428" s="1"/>
      <x:c r="AF428" s="1"/>
    </x:row>
    <x:row r="429" ht="15.75" customHeight="1">
      <x:c r="A429" s="1"/>
      <x:c r="B429" s="37"/>
      <x:c r="C429" s="38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1"/>
      <x:c r="Y429" s="1"/>
      <x:c r="Z429" s="1"/>
      <x:c r="AA429" s="1"/>
      <x:c r="AB429" s="1"/>
      <x:c r="AC429" s="1"/>
      <x:c r="AD429" s="1"/>
      <x:c r="AE429" s="1"/>
      <x:c r="AF429" s="1"/>
    </x:row>
    <x:row r="430" ht="15.75" customHeight="1">
      <x:c r="A430" s="1"/>
      <x:c r="B430" s="37"/>
      <x:c r="C430" s="38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1"/>
      <x:c r="Y430" s="1"/>
      <x:c r="Z430" s="1"/>
      <x:c r="AA430" s="1"/>
      <x:c r="AB430" s="1"/>
      <x:c r="AC430" s="1"/>
      <x:c r="AD430" s="1"/>
      <x:c r="AE430" s="1"/>
      <x:c r="AF430" s="1"/>
    </x:row>
    <x:row r="431" ht="15.75" customHeight="1">
      <x:c r="A431" s="1"/>
      <x:c r="B431" s="37"/>
      <x:c r="C431" s="38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1"/>
      <x:c r="Y431" s="1"/>
      <x:c r="Z431" s="1"/>
      <x:c r="AA431" s="1"/>
      <x:c r="AB431" s="1"/>
      <x:c r="AC431" s="1"/>
      <x:c r="AD431" s="1"/>
      <x:c r="AE431" s="1"/>
      <x:c r="AF431" s="1"/>
    </x:row>
    <x:row r="432" ht="15.75" customHeight="1">
      <x:c r="A432" s="1"/>
      <x:c r="B432" s="37"/>
      <x:c r="C432" s="38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1"/>
      <x:c r="Y432" s="1"/>
      <x:c r="Z432" s="1"/>
      <x:c r="AA432" s="1"/>
      <x:c r="AB432" s="1"/>
      <x:c r="AC432" s="1"/>
      <x:c r="AD432" s="1"/>
      <x:c r="AE432" s="1"/>
      <x:c r="AF432" s="1"/>
    </x:row>
    <x:row r="433" ht="15.75" customHeight="1">
      <x:c r="A433" s="1"/>
      <x:c r="B433" s="37"/>
      <x:c r="C433" s="38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1"/>
      <x:c r="Y433" s="1"/>
      <x:c r="Z433" s="1"/>
      <x:c r="AA433" s="1"/>
      <x:c r="AB433" s="1"/>
      <x:c r="AC433" s="1"/>
      <x:c r="AD433" s="1"/>
      <x:c r="AE433" s="1"/>
      <x:c r="AF433" s="1"/>
    </x:row>
    <x:row r="434" ht="15.75" customHeight="1">
      <x:c r="A434" s="1"/>
      <x:c r="B434" s="37"/>
      <x:c r="C434" s="38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1"/>
      <x:c r="Y434" s="1"/>
      <x:c r="Z434" s="1"/>
      <x:c r="AA434" s="1"/>
      <x:c r="AB434" s="1"/>
      <x:c r="AC434" s="1"/>
      <x:c r="AD434" s="1"/>
      <x:c r="AE434" s="1"/>
      <x:c r="AF434" s="1"/>
    </x:row>
    <x:row r="435" ht="15.75" customHeight="1">
      <x:c r="A435" s="1"/>
      <x:c r="B435" s="37"/>
      <x:c r="C435" s="38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1"/>
      <x:c r="Y435" s="1"/>
      <x:c r="Z435" s="1"/>
      <x:c r="AA435" s="1"/>
      <x:c r="AB435" s="1"/>
      <x:c r="AC435" s="1"/>
      <x:c r="AD435" s="1"/>
      <x:c r="AE435" s="1"/>
      <x:c r="AF435" s="1"/>
    </x:row>
    <x:row r="436" ht="15.75" customHeight="1">
      <x:c r="A436" s="1"/>
      <x:c r="B436" s="37"/>
      <x:c r="C436" s="38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1"/>
      <x:c r="Y436" s="1"/>
      <x:c r="Z436" s="1"/>
      <x:c r="AA436" s="1"/>
      <x:c r="AB436" s="1"/>
      <x:c r="AC436" s="1"/>
      <x:c r="AD436" s="1"/>
      <x:c r="AE436" s="1"/>
      <x:c r="AF436" s="1"/>
    </x:row>
    <x:row r="437" ht="15.75" customHeight="1">
      <x:c r="A437" s="1"/>
      <x:c r="B437" s="37"/>
      <x:c r="C437" s="38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1"/>
      <x:c r="Y437" s="1"/>
      <x:c r="Z437" s="1"/>
      <x:c r="AA437" s="1"/>
      <x:c r="AB437" s="1"/>
      <x:c r="AC437" s="1"/>
      <x:c r="AD437" s="1"/>
      <x:c r="AE437" s="1"/>
      <x:c r="AF437" s="1"/>
    </x:row>
    <x:row r="438" ht="15.75" customHeight="1">
      <x:c r="A438" s="1"/>
      <x:c r="B438" s="37"/>
      <x:c r="C438" s="38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1"/>
      <x:c r="Y438" s="1"/>
      <x:c r="Z438" s="1"/>
      <x:c r="AA438" s="1"/>
      <x:c r="AB438" s="1"/>
      <x:c r="AC438" s="1"/>
      <x:c r="AD438" s="1"/>
      <x:c r="AE438" s="1"/>
      <x:c r="AF438" s="1"/>
    </x:row>
    <x:row r="439" ht="15.75" customHeight="1">
      <x:c r="A439" s="1"/>
      <x:c r="B439" s="37"/>
      <x:c r="C439" s="38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1"/>
      <x:c r="Y439" s="1"/>
      <x:c r="Z439" s="1"/>
      <x:c r="AA439" s="1"/>
      <x:c r="AB439" s="1"/>
      <x:c r="AC439" s="1"/>
      <x:c r="AD439" s="1"/>
      <x:c r="AE439" s="1"/>
      <x:c r="AF439" s="1"/>
    </x:row>
    <x:row r="440" ht="15.75" customHeight="1">
      <x:c r="A440" s="1"/>
      <x:c r="B440" s="37"/>
      <x:c r="C440" s="38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1"/>
      <x:c r="Y440" s="1"/>
      <x:c r="Z440" s="1"/>
      <x:c r="AA440" s="1"/>
      <x:c r="AB440" s="1"/>
      <x:c r="AC440" s="1"/>
      <x:c r="AD440" s="1"/>
      <x:c r="AE440" s="1"/>
      <x:c r="AF440" s="1"/>
    </x:row>
    <x:row r="441" ht="15.75" customHeight="1">
      <x:c r="A441" s="1"/>
      <x:c r="B441" s="37"/>
      <x:c r="C441" s="38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1"/>
      <x:c r="Y441" s="1"/>
      <x:c r="Z441" s="1"/>
      <x:c r="AA441" s="1"/>
      <x:c r="AB441" s="1"/>
      <x:c r="AC441" s="1"/>
      <x:c r="AD441" s="1"/>
      <x:c r="AE441" s="1"/>
      <x:c r="AF441" s="1"/>
    </x:row>
    <x:row r="442" ht="15.75" customHeight="1">
      <x:c r="A442" s="1"/>
      <x:c r="B442" s="37"/>
      <x:c r="C442" s="38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1"/>
      <x:c r="Y442" s="1"/>
      <x:c r="Z442" s="1"/>
      <x:c r="AA442" s="1"/>
      <x:c r="AB442" s="1"/>
      <x:c r="AC442" s="1"/>
      <x:c r="AD442" s="1"/>
      <x:c r="AE442" s="1"/>
      <x:c r="AF442" s="1"/>
    </x:row>
    <x:row r="443" ht="15.75" customHeight="1">
      <x:c r="A443" s="1"/>
      <x:c r="B443" s="37"/>
      <x:c r="C443" s="38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1"/>
      <x:c r="Y443" s="1"/>
      <x:c r="Z443" s="1"/>
      <x:c r="AA443" s="1"/>
      <x:c r="AB443" s="1"/>
      <x:c r="AC443" s="1"/>
      <x:c r="AD443" s="1"/>
      <x:c r="AE443" s="1"/>
      <x:c r="AF443" s="1"/>
    </x:row>
    <x:row r="444" ht="15.75" customHeight="1">
      <x:c r="A444" s="1"/>
      <x:c r="B444" s="37"/>
      <x:c r="C444" s="38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1"/>
      <x:c r="Y444" s="1"/>
      <x:c r="Z444" s="1"/>
      <x:c r="AA444" s="1"/>
      <x:c r="AB444" s="1"/>
      <x:c r="AC444" s="1"/>
      <x:c r="AD444" s="1"/>
      <x:c r="AE444" s="1"/>
      <x:c r="AF444" s="1"/>
    </x:row>
    <x:row r="445" ht="15.75" customHeight="1">
      <x:c r="A445" s="1"/>
      <x:c r="B445" s="37"/>
      <x:c r="C445" s="38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1"/>
      <x:c r="Y445" s="1"/>
      <x:c r="Z445" s="1"/>
      <x:c r="AA445" s="1"/>
      <x:c r="AB445" s="1"/>
      <x:c r="AC445" s="1"/>
      <x:c r="AD445" s="1"/>
      <x:c r="AE445" s="1"/>
      <x:c r="AF445" s="1"/>
    </x:row>
    <x:row r="446" ht="15.75" customHeight="1">
      <x:c r="A446" s="1"/>
      <x:c r="B446" s="37"/>
      <x:c r="C446" s="38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1"/>
      <x:c r="Y446" s="1"/>
      <x:c r="Z446" s="1"/>
      <x:c r="AA446" s="1"/>
      <x:c r="AB446" s="1"/>
      <x:c r="AC446" s="1"/>
      <x:c r="AD446" s="1"/>
      <x:c r="AE446" s="1"/>
      <x:c r="AF446" s="1"/>
    </x:row>
    <x:row r="447" ht="15.75" customHeight="1">
      <x:c r="A447" s="1"/>
      <x:c r="B447" s="37"/>
      <x:c r="C447" s="38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1"/>
      <x:c r="Y447" s="1"/>
      <x:c r="Z447" s="1"/>
      <x:c r="AA447" s="1"/>
      <x:c r="AB447" s="1"/>
      <x:c r="AC447" s="1"/>
      <x:c r="AD447" s="1"/>
      <x:c r="AE447" s="1"/>
      <x:c r="AF447" s="1"/>
    </x:row>
    <x:row r="448" ht="15.75" customHeight="1">
      <x:c r="A448" s="1"/>
      <x:c r="B448" s="37"/>
      <x:c r="C448" s="38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1"/>
      <x:c r="Y448" s="1"/>
      <x:c r="Z448" s="1"/>
      <x:c r="AA448" s="1"/>
      <x:c r="AB448" s="1"/>
      <x:c r="AC448" s="1"/>
      <x:c r="AD448" s="1"/>
      <x:c r="AE448" s="1"/>
      <x:c r="AF448" s="1"/>
    </x:row>
    <x:row r="449" ht="15.75" customHeight="1">
      <x:c r="A449" s="1"/>
      <x:c r="B449" s="37"/>
      <x:c r="C449" s="38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1"/>
      <x:c r="Y449" s="1"/>
      <x:c r="Z449" s="1"/>
      <x:c r="AA449" s="1"/>
      <x:c r="AB449" s="1"/>
      <x:c r="AC449" s="1"/>
      <x:c r="AD449" s="1"/>
      <x:c r="AE449" s="1"/>
      <x:c r="AF449" s="1"/>
    </x:row>
    <x:row r="450" ht="15.75" customHeight="1">
      <x:c r="A450" s="1"/>
      <x:c r="B450" s="37"/>
      <x:c r="C450" s="38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1"/>
      <x:c r="Y450" s="1"/>
      <x:c r="Z450" s="1"/>
      <x:c r="AA450" s="1"/>
      <x:c r="AB450" s="1"/>
      <x:c r="AC450" s="1"/>
      <x:c r="AD450" s="1"/>
      <x:c r="AE450" s="1"/>
      <x:c r="AF450" s="1"/>
    </x:row>
    <x:row r="451" ht="15.75" customHeight="1">
      <x:c r="A451" s="1"/>
      <x:c r="B451" s="37"/>
      <x:c r="C451" s="38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1"/>
      <x:c r="Y451" s="1"/>
      <x:c r="Z451" s="1"/>
      <x:c r="AA451" s="1"/>
      <x:c r="AB451" s="1"/>
      <x:c r="AC451" s="1"/>
      <x:c r="AD451" s="1"/>
      <x:c r="AE451" s="1"/>
      <x:c r="AF451" s="1"/>
    </x:row>
    <x:row r="452" ht="15.75" customHeight="1">
      <x:c r="A452" s="1"/>
      <x:c r="B452" s="37"/>
      <x:c r="C452" s="38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1"/>
      <x:c r="Y452" s="1"/>
      <x:c r="Z452" s="1"/>
      <x:c r="AA452" s="1"/>
      <x:c r="AB452" s="1"/>
      <x:c r="AC452" s="1"/>
      <x:c r="AD452" s="1"/>
      <x:c r="AE452" s="1"/>
      <x:c r="AF452" s="1"/>
    </x:row>
    <x:row r="453" ht="15.75" customHeight="1">
      <x:c r="A453" s="1"/>
      <x:c r="B453" s="37"/>
      <x:c r="C453" s="38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1"/>
      <x:c r="Y453" s="1"/>
      <x:c r="Z453" s="1"/>
      <x:c r="AA453" s="1"/>
      <x:c r="AB453" s="1"/>
      <x:c r="AC453" s="1"/>
      <x:c r="AD453" s="1"/>
      <x:c r="AE453" s="1"/>
      <x:c r="AF453" s="1"/>
    </x:row>
    <x:row r="454" ht="15.75" customHeight="1">
      <x:c r="A454" s="1"/>
      <x:c r="B454" s="37"/>
      <x:c r="C454" s="38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1"/>
      <x:c r="Y454" s="1"/>
      <x:c r="Z454" s="1"/>
      <x:c r="AA454" s="1"/>
      <x:c r="AB454" s="1"/>
      <x:c r="AC454" s="1"/>
      <x:c r="AD454" s="1"/>
      <x:c r="AE454" s="1"/>
      <x:c r="AF454" s="1"/>
    </x:row>
    <x:row r="455" ht="15.75" customHeight="1">
      <x:c r="A455" s="1"/>
      <x:c r="B455" s="37"/>
      <x:c r="C455" s="38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1"/>
      <x:c r="Y455" s="1"/>
      <x:c r="Z455" s="1"/>
      <x:c r="AA455" s="1"/>
      <x:c r="AB455" s="1"/>
      <x:c r="AC455" s="1"/>
      <x:c r="AD455" s="1"/>
      <x:c r="AE455" s="1"/>
      <x:c r="AF455" s="1"/>
    </x:row>
    <x:row r="456" ht="15.75" customHeight="1">
      <x:c r="A456" s="1"/>
      <x:c r="B456" s="37"/>
      <x:c r="C456" s="38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1"/>
      <x:c r="Y456" s="1"/>
      <x:c r="Z456" s="1"/>
      <x:c r="AA456" s="1"/>
      <x:c r="AB456" s="1"/>
      <x:c r="AC456" s="1"/>
      <x:c r="AD456" s="1"/>
      <x:c r="AE456" s="1"/>
      <x:c r="AF456" s="1"/>
    </x:row>
    <x:row r="457" ht="15.75" customHeight="1">
      <x:c r="A457" s="1"/>
      <x:c r="B457" s="37"/>
      <x:c r="C457" s="38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1"/>
      <x:c r="Y457" s="1"/>
      <x:c r="Z457" s="1"/>
      <x:c r="AA457" s="1"/>
      <x:c r="AB457" s="1"/>
      <x:c r="AC457" s="1"/>
      <x:c r="AD457" s="1"/>
      <x:c r="AE457" s="1"/>
      <x:c r="AF457" s="1"/>
    </x:row>
    <x:row r="458" ht="15.75" customHeight="1">
      <x:c r="A458" s="1"/>
      <x:c r="B458" s="37"/>
      <x:c r="C458" s="38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1"/>
      <x:c r="Y458" s="1"/>
      <x:c r="Z458" s="1"/>
      <x:c r="AA458" s="1"/>
      <x:c r="AB458" s="1"/>
      <x:c r="AC458" s="1"/>
      <x:c r="AD458" s="1"/>
      <x:c r="AE458" s="1"/>
      <x:c r="AF458" s="1"/>
    </x:row>
    <x:row r="459" ht="15.75" customHeight="1">
      <x:c r="A459" s="1"/>
      <x:c r="B459" s="37"/>
      <x:c r="C459" s="38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1"/>
      <x:c r="Y459" s="1"/>
      <x:c r="Z459" s="1"/>
      <x:c r="AA459" s="1"/>
      <x:c r="AB459" s="1"/>
      <x:c r="AC459" s="1"/>
      <x:c r="AD459" s="1"/>
      <x:c r="AE459" s="1"/>
      <x:c r="AF459" s="1"/>
    </x:row>
    <x:row r="460" ht="15.75" customHeight="1">
      <x:c r="A460" s="1"/>
      <x:c r="B460" s="37"/>
      <x:c r="C460" s="38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1"/>
      <x:c r="Y460" s="1"/>
      <x:c r="Z460" s="1"/>
      <x:c r="AA460" s="1"/>
      <x:c r="AB460" s="1"/>
      <x:c r="AC460" s="1"/>
      <x:c r="AD460" s="1"/>
      <x:c r="AE460" s="1"/>
      <x:c r="AF460" s="1"/>
    </x:row>
    <x:row r="461" ht="15.75" customHeight="1">
      <x:c r="A461" s="1"/>
      <x:c r="B461" s="37"/>
      <x:c r="C461" s="38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1"/>
      <x:c r="Y461" s="1"/>
      <x:c r="Z461" s="1"/>
      <x:c r="AA461" s="1"/>
      <x:c r="AB461" s="1"/>
      <x:c r="AC461" s="1"/>
      <x:c r="AD461" s="1"/>
      <x:c r="AE461" s="1"/>
      <x:c r="AF461" s="1"/>
    </x:row>
    <x:row r="462" ht="15.75" customHeight="1">
      <x:c r="A462" s="1"/>
      <x:c r="B462" s="37"/>
      <x:c r="C462" s="38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1"/>
      <x:c r="Y462" s="1"/>
      <x:c r="Z462" s="1"/>
      <x:c r="AA462" s="1"/>
      <x:c r="AB462" s="1"/>
      <x:c r="AC462" s="1"/>
      <x:c r="AD462" s="1"/>
      <x:c r="AE462" s="1"/>
      <x:c r="AF462" s="1"/>
    </x:row>
    <x:row r="463" ht="15.75" customHeight="1">
      <x:c r="A463" s="1"/>
      <x:c r="B463" s="37"/>
      <x:c r="C463" s="38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1"/>
      <x:c r="Y463" s="1"/>
      <x:c r="Z463" s="1"/>
      <x:c r="AA463" s="1"/>
      <x:c r="AB463" s="1"/>
      <x:c r="AC463" s="1"/>
      <x:c r="AD463" s="1"/>
      <x:c r="AE463" s="1"/>
      <x:c r="AF463" s="1"/>
    </x:row>
    <x:row r="464" ht="15.75" customHeight="1">
      <x:c r="A464" s="1"/>
      <x:c r="B464" s="37"/>
      <x:c r="C464" s="38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1"/>
      <x:c r="Y464" s="1"/>
      <x:c r="Z464" s="1"/>
      <x:c r="AA464" s="1"/>
      <x:c r="AB464" s="1"/>
      <x:c r="AC464" s="1"/>
      <x:c r="AD464" s="1"/>
      <x:c r="AE464" s="1"/>
      <x:c r="AF464" s="1"/>
    </x:row>
    <x:row r="465" ht="15.75" customHeight="1">
      <x:c r="A465" s="1"/>
      <x:c r="B465" s="37"/>
      <x:c r="C465" s="38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1"/>
      <x:c r="Y465" s="1"/>
      <x:c r="Z465" s="1"/>
      <x:c r="AA465" s="1"/>
      <x:c r="AB465" s="1"/>
      <x:c r="AC465" s="1"/>
      <x:c r="AD465" s="1"/>
      <x:c r="AE465" s="1"/>
      <x:c r="AF465" s="1"/>
    </x:row>
    <x:row r="466" ht="15.75" customHeight="1">
      <x:c r="A466" s="1"/>
      <x:c r="B466" s="37"/>
      <x:c r="C466" s="38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1"/>
      <x:c r="Y466" s="1"/>
      <x:c r="Z466" s="1"/>
      <x:c r="AA466" s="1"/>
      <x:c r="AB466" s="1"/>
      <x:c r="AC466" s="1"/>
      <x:c r="AD466" s="1"/>
      <x:c r="AE466" s="1"/>
      <x:c r="AF466" s="1"/>
    </x:row>
    <x:row r="467" ht="15.75" customHeight="1">
      <x:c r="A467" s="1"/>
      <x:c r="B467" s="37"/>
      <x:c r="C467" s="38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1"/>
      <x:c r="Y467" s="1"/>
      <x:c r="Z467" s="1"/>
      <x:c r="AA467" s="1"/>
      <x:c r="AB467" s="1"/>
      <x:c r="AC467" s="1"/>
      <x:c r="AD467" s="1"/>
      <x:c r="AE467" s="1"/>
      <x:c r="AF467" s="1"/>
    </x:row>
    <x:row r="468" ht="15.75" customHeight="1">
      <x:c r="A468" s="1"/>
      <x:c r="B468" s="37"/>
      <x:c r="C468" s="38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1"/>
      <x:c r="Y468" s="1"/>
      <x:c r="Z468" s="1"/>
      <x:c r="AA468" s="1"/>
      <x:c r="AB468" s="1"/>
      <x:c r="AC468" s="1"/>
      <x:c r="AD468" s="1"/>
      <x:c r="AE468" s="1"/>
      <x:c r="AF468" s="1"/>
    </x:row>
    <x:row r="469" ht="15.75" customHeight="1">
      <x:c r="A469" s="1"/>
      <x:c r="B469" s="37"/>
      <x:c r="C469" s="38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1"/>
      <x:c r="Y469" s="1"/>
      <x:c r="Z469" s="1"/>
      <x:c r="AA469" s="1"/>
      <x:c r="AB469" s="1"/>
      <x:c r="AC469" s="1"/>
      <x:c r="AD469" s="1"/>
      <x:c r="AE469" s="1"/>
      <x:c r="AF469" s="1"/>
    </x:row>
    <x:row r="470" ht="15.75" customHeight="1">
      <x:c r="A470" s="1"/>
      <x:c r="B470" s="37"/>
      <x:c r="C470" s="38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1"/>
      <x:c r="Y470" s="1"/>
      <x:c r="Z470" s="1"/>
      <x:c r="AA470" s="1"/>
      <x:c r="AB470" s="1"/>
      <x:c r="AC470" s="1"/>
      <x:c r="AD470" s="1"/>
      <x:c r="AE470" s="1"/>
      <x:c r="AF470" s="1"/>
    </x:row>
    <x:row r="471" ht="15.75" customHeight="1">
      <x:c r="A471" s="1"/>
      <x:c r="B471" s="37"/>
      <x:c r="C471" s="38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1"/>
      <x:c r="Y471" s="1"/>
      <x:c r="Z471" s="1"/>
      <x:c r="AA471" s="1"/>
      <x:c r="AB471" s="1"/>
      <x:c r="AC471" s="1"/>
      <x:c r="AD471" s="1"/>
      <x:c r="AE471" s="1"/>
      <x:c r="AF471" s="1"/>
    </x:row>
    <x:row r="472" ht="15.75" customHeight="1">
      <x:c r="A472" s="1"/>
      <x:c r="B472" s="37"/>
      <x:c r="C472" s="38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1"/>
      <x:c r="Y472" s="1"/>
      <x:c r="Z472" s="1"/>
      <x:c r="AA472" s="1"/>
      <x:c r="AB472" s="1"/>
      <x:c r="AC472" s="1"/>
      <x:c r="AD472" s="1"/>
      <x:c r="AE472" s="1"/>
      <x:c r="AF472" s="1"/>
    </x:row>
    <x:row r="473" ht="15.75" customHeight="1">
      <x:c r="A473" s="1"/>
      <x:c r="B473" s="37"/>
      <x:c r="C473" s="38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1"/>
      <x:c r="Y473" s="1"/>
      <x:c r="Z473" s="1"/>
      <x:c r="AA473" s="1"/>
      <x:c r="AB473" s="1"/>
      <x:c r="AC473" s="1"/>
      <x:c r="AD473" s="1"/>
      <x:c r="AE473" s="1"/>
      <x:c r="AF473" s="1"/>
    </x:row>
    <x:row r="474" ht="15.75" customHeight="1">
      <x:c r="A474" s="1"/>
      <x:c r="B474" s="37"/>
      <x:c r="C474" s="38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1"/>
      <x:c r="Y474" s="1"/>
      <x:c r="Z474" s="1"/>
      <x:c r="AA474" s="1"/>
      <x:c r="AB474" s="1"/>
      <x:c r="AC474" s="1"/>
      <x:c r="AD474" s="1"/>
      <x:c r="AE474" s="1"/>
      <x:c r="AF474" s="1"/>
    </x:row>
    <x:row r="475" ht="15.75" customHeight="1">
      <x:c r="A475" s="1"/>
      <x:c r="B475" s="37"/>
      <x:c r="C475" s="38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1"/>
      <x:c r="Y475" s="1"/>
      <x:c r="Z475" s="1"/>
      <x:c r="AA475" s="1"/>
      <x:c r="AB475" s="1"/>
      <x:c r="AC475" s="1"/>
      <x:c r="AD475" s="1"/>
      <x:c r="AE475" s="1"/>
      <x:c r="AF475" s="1"/>
    </x:row>
    <x:row r="476" ht="15.75" customHeight="1">
      <x:c r="A476" s="1"/>
      <x:c r="B476" s="37"/>
      <x:c r="C476" s="38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1"/>
      <x:c r="Y476" s="1"/>
      <x:c r="Z476" s="1"/>
      <x:c r="AA476" s="1"/>
      <x:c r="AB476" s="1"/>
      <x:c r="AC476" s="1"/>
      <x:c r="AD476" s="1"/>
      <x:c r="AE476" s="1"/>
      <x:c r="AF476" s="1"/>
    </x:row>
    <x:row r="477" ht="15.75" customHeight="1">
      <x:c r="A477" s="1"/>
      <x:c r="B477" s="37"/>
      <x:c r="C477" s="38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1"/>
      <x:c r="Y477" s="1"/>
      <x:c r="Z477" s="1"/>
      <x:c r="AA477" s="1"/>
      <x:c r="AB477" s="1"/>
      <x:c r="AC477" s="1"/>
      <x:c r="AD477" s="1"/>
      <x:c r="AE477" s="1"/>
      <x:c r="AF477" s="1"/>
    </x:row>
    <x:row r="478" ht="15.75" customHeight="1">
      <x:c r="A478" s="1"/>
      <x:c r="B478" s="37"/>
      <x:c r="C478" s="38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1"/>
      <x:c r="Y478" s="1"/>
      <x:c r="Z478" s="1"/>
      <x:c r="AA478" s="1"/>
      <x:c r="AB478" s="1"/>
      <x:c r="AC478" s="1"/>
      <x:c r="AD478" s="1"/>
      <x:c r="AE478" s="1"/>
      <x:c r="AF478" s="1"/>
    </x:row>
    <x:row r="479" ht="15.75" customHeight="1">
      <x:c r="A479" s="1"/>
      <x:c r="B479" s="37"/>
      <x:c r="C479" s="38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1"/>
      <x:c r="Y479" s="1"/>
      <x:c r="Z479" s="1"/>
      <x:c r="AA479" s="1"/>
      <x:c r="AB479" s="1"/>
      <x:c r="AC479" s="1"/>
      <x:c r="AD479" s="1"/>
      <x:c r="AE479" s="1"/>
      <x:c r="AF479" s="1"/>
    </x:row>
    <x:row r="480" ht="15.75" customHeight="1">
      <x:c r="A480" s="1"/>
      <x:c r="B480" s="37"/>
      <x:c r="C480" s="38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1"/>
      <x:c r="Y480" s="1"/>
      <x:c r="Z480" s="1"/>
      <x:c r="AA480" s="1"/>
      <x:c r="AB480" s="1"/>
      <x:c r="AC480" s="1"/>
      <x:c r="AD480" s="1"/>
      <x:c r="AE480" s="1"/>
      <x:c r="AF480" s="1"/>
    </x:row>
    <x:row r="481" ht="15.75" customHeight="1">
      <x:c r="A481" s="1"/>
      <x:c r="B481" s="37"/>
      <x:c r="C481" s="38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1"/>
      <x:c r="Y481" s="1"/>
      <x:c r="Z481" s="1"/>
      <x:c r="AA481" s="1"/>
      <x:c r="AB481" s="1"/>
      <x:c r="AC481" s="1"/>
      <x:c r="AD481" s="1"/>
      <x:c r="AE481" s="1"/>
      <x:c r="AF481" s="1"/>
    </x:row>
    <x:row r="482" ht="15.75" customHeight="1">
      <x:c r="A482" s="1"/>
      <x:c r="B482" s="37"/>
      <x:c r="C482" s="38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1"/>
      <x:c r="Y482" s="1"/>
      <x:c r="Z482" s="1"/>
      <x:c r="AA482" s="1"/>
      <x:c r="AB482" s="1"/>
      <x:c r="AC482" s="1"/>
      <x:c r="AD482" s="1"/>
      <x:c r="AE482" s="1"/>
      <x:c r="AF482" s="1"/>
    </x:row>
    <x:row r="483" ht="15.75" customHeight="1">
      <x:c r="A483" s="1"/>
      <x:c r="B483" s="37"/>
      <x:c r="C483" s="38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1"/>
      <x:c r="Y483" s="1"/>
      <x:c r="Z483" s="1"/>
      <x:c r="AA483" s="1"/>
      <x:c r="AB483" s="1"/>
      <x:c r="AC483" s="1"/>
      <x:c r="AD483" s="1"/>
      <x:c r="AE483" s="1"/>
      <x:c r="AF483" s="1"/>
    </x:row>
    <x:row r="484" ht="15.75" customHeight="1">
      <x:c r="A484" s="1"/>
      <x:c r="B484" s="37"/>
      <x:c r="C484" s="38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1"/>
      <x:c r="Y484" s="1"/>
      <x:c r="Z484" s="1"/>
      <x:c r="AA484" s="1"/>
      <x:c r="AB484" s="1"/>
      <x:c r="AC484" s="1"/>
      <x:c r="AD484" s="1"/>
      <x:c r="AE484" s="1"/>
      <x:c r="AF484" s="1"/>
    </x:row>
    <x:row r="485" ht="15.75" customHeight="1">
      <x:c r="A485" s="1"/>
      <x:c r="B485" s="37"/>
      <x:c r="C485" s="38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1"/>
      <x:c r="Y485" s="1"/>
      <x:c r="Z485" s="1"/>
      <x:c r="AA485" s="1"/>
      <x:c r="AB485" s="1"/>
      <x:c r="AC485" s="1"/>
      <x:c r="AD485" s="1"/>
      <x:c r="AE485" s="1"/>
      <x:c r="AF485" s="1"/>
    </x:row>
    <x:row r="486" ht="15.75" customHeight="1">
      <x:c r="A486" s="1"/>
      <x:c r="B486" s="37"/>
      <x:c r="C486" s="38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1"/>
      <x:c r="Y486" s="1"/>
      <x:c r="Z486" s="1"/>
      <x:c r="AA486" s="1"/>
      <x:c r="AB486" s="1"/>
      <x:c r="AC486" s="1"/>
      <x:c r="AD486" s="1"/>
      <x:c r="AE486" s="1"/>
      <x:c r="AF486" s="1"/>
    </x:row>
    <x:row r="487" ht="15.75" customHeight="1">
      <x:c r="A487" s="1"/>
      <x:c r="B487" s="37"/>
      <x:c r="C487" s="38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1"/>
      <x:c r="Y487" s="1"/>
      <x:c r="Z487" s="1"/>
      <x:c r="AA487" s="1"/>
      <x:c r="AB487" s="1"/>
      <x:c r="AC487" s="1"/>
      <x:c r="AD487" s="1"/>
      <x:c r="AE487" s="1"/>
      <x:c r="AF487" s="1"/>
    </x:row>
    <x:row r="488" ht="15.75" customHeight="1">
      <x:c r="A488" s="1"/>
      <x:c r="B488" s="37"/>
      <x:c r="C488" s="38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1"/>
      <x:c r="Y488" s="1"/>
      <x:c r="Z488" s="1"/>
      <x:c r="AA488" s="1"/>
      <x:c r="AB488" s="1"/>
      <x:c r="AC488" s="1"/>
      <x:c r="AD488" s="1"/>
      <x:c r="AE488" s="1"/>
      <x:c r="AF488" s="1"/>
    </x:row>
    <x:row r="489" ht="15.75" customHeight="1">
      <x:c r="A489" s="1"/>
      <x:c r="B489" s="37"/>
      <x:c r="C489" s="38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1"/>
      <x:c r="Y489" s="1"/>
      <x:c r="Z489" s="1"/>
      <x:c r="AA489" s="1"/>
      <x:c r="AB489" s="1"/>
      <x:c r="AC489" s="1"/>
      <x:c r="AD489" s="1"/>
      <x:c r="AE489" s="1"/>
      <x:c r="AF489" s="1"/>
    </x:row>
    <x:row r="490" ht="15.75" customHeight="1">
      <x:c r="A490" s="1"/>
      <x:c r="B490" s="37"/>
      <x:c r="C490" s="38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1"/>
      <x:c r="Y490" s="1"/>
      <x:c r="Z490" s="1"/>
      <x:c r="AA490" s="1"/>
      <x:c r="AB490" s="1"/>
      <x:c r="AC490" s="1"/>
      <x:c r="AD490" s="1"/>
      <x:c r="AE490" s="1"/>
      <x:c r="AF490" s="1"/>
    </x:row>
    <x:row r="491" ht="15.75" customHeight="1">
      <x:c r="A491" s="1"/>
      <x:c r="B491" s="37"/>
      <x:c r="C491" s="38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1"/>
      <x:c r="Y491" s="1"/>
      <x:c r="Z491" s="1"/>
      <x:c r="AA491" s="1"/>
      <x:c r="AB491" s="1"/>
      <x:c r="AC491" s="1"/>
      <x:c r="AD491" s="1"/>
      <x:c r="AE491" s="1"/>
      <x:c r="AF491" s="1"/>
    </x:row>
    <x:row r="492" ht="15.75" customHeight="1">
      <x:c r="A492" s="1"/>
      <x:c r="B492" s="37"/>
      <x:c r="C492" s="38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1"/>
      <x:c r="Y492" s="1"/>
      <x:c r="Z492" s="1"/>
      <x:c r="AA492" s="1"/>
      <x:c r="AB492" s="1"/>
      <x:c r="AC492" s="1"/>
      <x:c r="AD492" s="1"/>
      <x:c r="AE492" s="1"/>
      <x:c r="AF492" s="1"/>
    </x:row>
    <x:row r="493" ht="15.75" customHeight="1">
      <x:c r="A493" s="1"/>
      <x:c r="B493" s="37"/>
      <x:c r="C493" s="38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1"/>
      <x:c r="Y493" s="1"/>
      <x:c r="Z493" s="1"/>
      <x:c r="AA493" s="1"/>
      <x:c r="AB493" s="1"/>
      <x:c r="AC493" s="1"/>
      <x:c r="AD493" s="1"/>
      <x:c r="AE493" s="1"/>
      <x:c r="AF493" s="1"/>
    </x:row>
    <x:row r="494" ht="15.75" customHeight="1">
      <x:c r="A494" s="1"/>
      <x:c r="B494" s="37"/>
      <x:c r="C494" s="38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1"/>
      <x:c r="Y494" s="1"/>
      <x:c r="Z494" s="1"/>
      <x:c r="AA494" s="1"/>
      <x:c r="AB494" s="1"/>
      <x:c r="AC494" s="1"/>
      <x:c r="AD494" s="1"/>
      <x:c r="AE494" s="1"/>
      <x:c r="AF494" s="1"/>
    </x:row>
    <x:row r="495" ht="15.75" customHeight="1">
      <x:c r="A495" s="1"/>
      <x:c r="B495" s="37"/>
      <x:c r="C495" s="38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1"/>
      <x:c r="Y495" s="1"/>
      <x:c r="Z495" s="1"/>
      <x:c r="AA495" s="1"/>
      <x:c r="AB495" s="1"/>
      <x:c r="AC495" s="1"/>
      <x:c r="AD495" s="1"/>
      <x:c r="AE495" s="1"/>
      <x:c r="AF495" s="1"/>
    </x:row>
    <x:row r="496" ht="15.75" customHeight="1">
      <x:c r="A496" s="1"/>
      <x:c r="B496" s="37"/>
      <x:c r="C496" s="38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1"/>
      <x:c r="Y496" s="1"/>
      <x:c r="Z496" s="1"/>
      <x:c r="AA496" s="1"/>
      <x:c r="AB496" s="1"/>
      <x:c r="AC496" s="1"/>
      <x:c r="AD496" s="1"/>
      <x:c r="AE496" s="1"/>
      <x:c r="AF496" s="1"/>
    </x:row>
    <x:row r="497" ht="15.75" customHeight="1">
      <x:c r="A497" s="1"/>
      <x:c r="B497" s="37"/>
      <x:c r="C497" s="38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1"/>
      <x:c r="Y497" s="1"/>
      <x:c r="Z497" s="1"/>
      <x:c r="AA497" s="1"/>
      <x:c r="AB497" s="1"/>
      <x:c r="AC497" s="1"/>
      <x:c r="AD497" s="1"/>
      <x:c r="AE497" s="1"/>
      <x:c r="AF497" s="1"/>
    </x:row>
    <x:row r="498" ht="15.75" customHeight="1">
      <x:c r="A498" s="1"/>
      <x:c r="B498" s="37"/>
      <x:c r="C498" s="38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1"/>
      <x:c r="Y498" s="1"/>
      <x:c r="Z498" s="1"/>
      <x:c r="AA498" s="1"/>
      <x:c r="AB498" s="1"/>
      <x:c r="AC498" s="1"/>
      <x:c r="AD498" s="1"/>
      <x:c r="AE498" s="1"/>
      <x:c r="AF498" s="1"/>
    </x:row>
    <x:row r="499" ht="15.75" customHeight="1">
      <x:c r="A499" s="1"/>
      <x:c r="B499" s="37"/>
      <x:c r="C499" s="38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1"/>
      <x:c r="Y499" s="1"/>
      <x:c r="Z499" s="1"/>
      <x:c r="AA499" s="1"/>
      <x:c r="AB499" s="1"/>
      <x:c r="AC499" s="1"/>
      <x:c r="AD499" s="1"/>
      <x:c r="AE499" s="1"/>
      <x:c r="AF499" s="1"/>
    </x:row>
    <x:row r="500" ht="15.75" customHeight="1">
      <x:c r="A500" s="1"/>
      <x:c r="B500" s="37"/>
      <x:c r="C500" s="38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1"/>
      <x:c r="Y500" s="1"/>
      <x:c r="Z500" s="1"/>
      <x:c r="AA500" s="1"/>
      <x:c r="AB500" s="1"/>
      <x:c r="AC500" s="1"/>
      <x:c r="AD500" s="1"/>
      <x:c r="AE500" s="1"/>
      <x:c r="AF500" s="1"/>
    </x:row>
    <x:row r="501" ht="15.75" customHeight="1">
      <x:c r="A501" s="1"/>
      <x:c r="B501" s="37"/>
      <x:c r="C501" s="38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1"/>
      <x:c r="Y501" s="1"/>
      <x:c r="Z501" s="1"/>
      <x:c r="AA501" s="1"/>
      <x:c r="AB501" s="1"/>
      <x:c r="AC501" s="1"/>
      <x:c r="AD501" s="1"/>
      <x:c r="AE501" s="1"/>
      <x:c r="AF501" s="1"/>
    </x:row>
    <x:row r="502" ht="15.75" customHeight="1">
      <x:c r="A502" s="1"/>
      <x:c r="B502" s="37"/>
      <x:c r="C502" s="38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1"/>
      <x:c r="Y502" s="1"/>
      <x:c r="Z502" s="1"/>
      <x:c r="AA502" s="1"/>
      <x:c r="AB502" s="1"/>
      <x:c r="AC502" s="1"/>
      <x:c r="AD502" s="1"/>
      <x:c r="AE502" s="1"/>
      <x:c r="AF502" s="1"/>
    </x:row>
    <x:row r="503" ht="15.75" customHeight="1">
      <x:c r="A503" s="1"/>
      <x:c r="B503" s="37"/>
      <x:c r="C503" s="38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1"/>
      <x:c r="Y503" s="1"/>
      <x:c r="Z503" s="1"/>
      <x:c r="AA503" s="1"/>
      <x:c r="AB503" s="1"/>
      <x:c r="AC503" s="1"/>
      <x:c r="AD503" s="1"/>
      <x:c r="AE503" s="1"/>
      <x:c r="AF503" s="1"/>
    </x:row>
    <x:row r="504" ht="15.75" customHeight="1">
      <x:c r="A504" s="1"/>
      <x:c r="B504" s="37"/>
      <x:c r="C504" s="38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1"/>
      <x:c r="Y504" s="1"/>
      <x:c r="Z504" s="1"/>
      <x:c r="AA504" s="1"/>
      <x:c r="AB504" s="1"/>
      <x:c r="AC504" s="1"/>
      <x:c r="AD504" s="1"/>
      <x:c r="AE504" s="1"/>
      <x:c r="AF504" s="1"/>
    </x:row>
    <x:row r="505" ht="15.75" customHeight="1">
      <x:c r="A505" s="1"/>
      <x:c r="B505" s="37"/>
      <x:c r="C505" s="38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1"/>
      <x:c r="Y505" s="1"/>
      <x:c r="Z505" s="1"/>
      <x:c r="AA505" s="1"/>
      <x:c r="AB505" s="1"/>
      <x:c r="AC505" s="1"/>
      <x:c r="AD505" s="1"/>
      <x:c r="AE505" s="1"/>
      <x:c r="AF505" s="1"/>
    </x:row>
    <x:row r="506" ht="15.75" customHeight="1">
      <x:c r="A506" s="1"/>
      <x:c r="B506" s="37"/>
      <x:c r="C506" s="38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1"/>
      <x:c r="Y506" s="1"/>
      <x:c r="Z506" s="1"/>
      <x:c r="AA506" s="1"/>
      <x:c r="AB506" s="1"/>
      <x:c r="AC506" s="1"/>
      <x:c r="AD506" s="1"/>
      <x:c r="AE506" s="1"/>
      <x:c r="AF506" s="1"/>
    </x:row>
    <x:row r="507" ht="15.75" customHeight="1">
      <x:c r="A507" s="1"/>
      <x:c r="B507" s="37"/>
      <x:c r="C507" s="38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1"/>
      <x:c r="Y507" s="1"/>
      <x:c r="Z507" s="1"/>
      <x:c r="AA507" s="1"/>
      <x:c r="AB507" s="1"/>
      <x:c r="AC507" s="1"/>
      <x:c r="AD507" s="1"/>
      <x:c r="AE507" s="1"/>
      <x:c r="AF507" s="1"/>
    </x:row>
    <x:row r="508" ht="15.75" customHeight="1">
      <x:c r="A508" s="1"/>
      <x:c r="B508" s="37"/>
      <x:c r="C508" s="38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1"/>
      <x:c r="Y508" s="1"/>
      <x:c r="Z508" s="1"/>
      <x:c r="AA508" s="1"/>
      <x:c r="AB508" s="1"/>
      <x:c r="AC508" s="1"/>
      <x:c r="AD508" s="1"/>
      <x:c r="AE508" s="1"/>
      <x:c r="AF508" s="1"/>
    </x:row>
    <x:row r="509" ht="15.75" customHeight="1">
      <x:c r="A509" s="1"/>
      <x:c r="B509" s="37"/>
      <x:c r="C509" s="38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1"/>
      <x:c r="Y509" s="1"/>
      <x:c r="Z509" s="1"/>
      <x:c r="AA509" s="1"/>
      <x:c r="AB509" s="1"/>
      <x:c r="AC509" s="1"/>
      <x:c r="AD509" s="1"/>
      <x:c r="AE509" s="1"/>
      <x:c r="AF509" s="1"/>
    </x:row>
    <x:row r="510" ht="15.75" customHeight="1">
      <x:c r="A510" s="1"/>
      <x:c r="B510" s="37"/>
      <x:c r="C510" s="38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1"/>
      <x:c r="Y510" s="1"/>
      <x:c r="Z510" s="1"/>
      <x:c r="AA510" s="1"/>
      <x:c r="AB510" s="1"/>
      <x:c r="AC510" s="1"/>
      <x:c r="AD510" s="1"/>
      <x:c r="AE510" s="1"/>
      <x:c r="AF510" s="1"/>
    </x:row>
    <x:row r="511" ht="15.75" customHeight="1">
      <x:c r="A511" s="1"/>
      <x:c r="B511" s="37"/>
      <x:c r="C511" s="38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1"/>
      <x:c r="Y511" s="1"/>
      <x:c r="Z511" s="1"/>
      <x:c r="AA511" s="1"/>
      <x:c r="AB511" s="1"/>
      <x:c r="AC511" s="1"/>
      <x:c r="AD511" s="1"/>
      <x:c r="AE511" s="1"/>
      <x:c r="AF511" s="1"/>
    </x:row>
    <x:row r="512" ht="15.75" customHeight="1">
      <x:c r="A512" s="1"/>
      <x:c r="B512" s="37"/>
      <x:c r="C512" s="38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1"/>
      <x:c r="Y512" s="1"/>
      <x:c r="Z512" s="1"/>
      <x:c r="AA512" s="1"/>
      <x:c r="AB512" s="1"/>
      <x:c r="AC512" s="1"/>
      <x:c r="AD512" s="1"/>
      <x:c r="AE512" s="1"/>
      <x:c r="AF512" s="1"/>
    </x:row>
    <x:row r="513" ht="15.75" customHeight="1">
      <x:c r="A513" s="1"/>
      <x:c r="B513" s="37"/>
      <x:c r="C513" s="38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1"/>
      <x:c r="Y513" s="1"/>
      <x:c r="Z513" s="1"/>
      <x:c r="AA513" s="1"/>
      <x:c r="AB513" s="1"/>
      <x:c r="AC513" s="1"/>
      <x:c r="AD513" s="1"/>
      <x:c r="AE513" s="1"/>
      <x:c r="AF513" s="1"/>
    </x:row>
    <x:row r="514" ht="15.75" customHeight="1">
      <x:c r="A514" s="1"/>
      <x:c r="B514" s="37"/>
      <x:c r="C514" s="38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1"/>
      <x:c r="Y514" s="1"/>
      <x:c r="Z514" s="1"/>
      <x:c r="AA514" s="1"/>
      <x:c r="AB514" s="1"/>
      <x:c r="AC514" s="1"/>
      <x:c r="AD514" s="1"/>
      <x:c r="AE514" s="1"/>
      <x:c r="AF514" s="1"/>
    </x:row>
    <x:row r="515" ht="15.75" customHeight="1">
      <x:c r="A515" s="1"/>
      <x:c r="B515" s="37"/>
      <x:c r="C515" s="38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1"/>
      <x:c r="Y515" s="1"/>
      <x:c r="Z515" s="1"/>
      <x:c r="AA515" s="1"/>
      <x:c r="AB515" s="1"/>
      <x:c r="AC515" s="1"/>
      <x:c r="AD515" s="1"/>
      <x:c r="AE515" s="1"/>
      <x:c r="AF515" s="1"/>
    </x:row>
    <x:row r="516" ht="15.75" customHeight="1">
      <x:c r="A516" s="1"/>
      <x:c r="B516" s="37"/>
      <x:c r="C516" s="38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1"/>
      <x:c r="Y516" s="1"/>
      <x:c r="Z516" s="1"/>
      <x:c r="AA516" s="1"/>
      <x:c r="AB516" s="1"/>
      <x:c r="AC516" s="1"/>
      <x:c r="AD516" s="1"/>
      <x:c r="AE516" s="1"/>
      <x:c r="AF516" s="1"/>
    </x:row>
    <x:row r="517" ht="15.75" customHeight="1">
      <x:c r="A517" s="1"/>
      <x:c r="B517" s="37"/>
      <x:c r="C517" s="38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1"/>
      <x:c r="Y517" s="1"/>
      <x:c r="Z517" s="1"/>
      <x:c r="AA517" s="1"/>
      <x:c r="AB517" s="1"/>
      <x:c r="AC517" s="1"/>
      <x:c r="AD517" s="1"/>
      <x:c r="AE517" s="1"/>
      <x:c r="AF517" s="1"/>
    </x:row>
    <x:row r="518" ht="15.75" customHeight="1">
      <x:c r="A518" s="1"/>
      <x:c r="B518" s="37"/>
      <x:c r="C518" s="38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1"/>
      <x:c r="Y518" s="1"/>
      <x:c r="Z518" s="1"/>
      <x:c r="AA518" s="1"/>
      <x:c r="AB518" s="1"/>
      <x:c r="AC518" s="1"/>
      <x:c r="AD518" s="1"/>
      <x:c r="AE518" s="1"/>
      <x:c r="AF518" s="1"/>
    </x:row>
    <x:row r="519" ht="15.75" customHeight="1">
      <x:c r="A519" s="1"/>
      <x:c r="B519" s="37"/>
      <x:c r="C519" s="38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1"/>
      <x:c r="Y519" s="1"/>
      <x:c r="Z519" s="1"/>
      <x:c r="AA519" s="1"/>
      <x:c r="AB519" s="1"/>
      <x:c r="AC519" s="1"/>
      <x:c r="AD519" s="1"/>
      <x:c r="AE519" s="1"/>
      <x:c r="AF519" s="1"/>
    </x:row>
    <x:row r="520" ht="15.75" customHeight="1">
      <x:c r="A520" s="1"/>
      <x:c r="B520" s="37"/>
      <x:c r="C520" s="38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1"/>
      <x:c r="Y520" s="1"/>
      <x:c r="Z520" s="1"/>
      <x:c r="AA520" s="1"/>
      <x:c r="AB520" s="1"/>
      <x:c r="AC520" s="1"/>
      <x:c r="AD520" s="1"/>
      <x:c r="AE520" s="1"/>
      <x:c r="AF520" s="1"/>
    </x:row>
    <x:row r="521" ht="15.75" customHeight="1">
      <x:c r="A521" s="1"/>
      <x:c r="B521" s="37"/>
      <x:c r="C521" s="38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1"/>
      <x:c r="Y521" s="1"/>
      <x:c r="Z521" s="1"/>
      <x:c r="AA521" s="1"/>
      <x:c r="AB521" s="1"/>
      <x:c r="AC521" s="1"/>
      <x:c r="AD521" s="1"/>
      <x:c r="AE521" s="1"/>
      <x:c r="AF521" s="1"/>
    </x:row>
    <x:row r="522" ht="15.75" customHeight="1">
      <x:c r="A522" s="1"/>
      <x:c r="B522" s="37"/>
      <x:c r="C522" s="38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1"/>
      <x:c r="Y522" s="1"/>
      <x:c r="Z522" s="1"/>
      <x:c r="AA522" s="1"/>
      <x:c r="AB522" s="1"/>
      <x:c r="AC522" s="1"/>
      <x:c r="AD522" s="1"/>
      <x:c r="AE522" s="1"/>
      <x:c r="AF522" s="1"/>
    </x:row>
    <x:row r="523" ht="15.75" customHeight="1">
      <x:c r="A523" s="1"/>
      <x:c r="B523" s="37"/>
      <x:c r="C523" s="38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1"/>
      <x:c r="Y523" s="1"/>
      <x:c r="Z523" s="1"/>
      <x:c r="AA523" s="1"/>
      <x:c r="AB523" s="1"/>
      <x:c r="AC523" s="1"/>
      <x:c r="AD523" s="1"/>
      <x:c r="AE523" s="1"/>
      <x:c r="AF523" s="1"/>
    </x:row>
    <x:row r="524" ht="15.75" customHeight="1">
      <x:c r="A524" s="1"/>
      <x:c r="B524" s="37"/>
      <x:c r="C524" s="38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1"/>
      <x:c r="Y524" s="1"/>
      <x:c r="Z524" s="1"/>
      <x:c r="AA524" s="1"/>
      <x:c r="AB524" s="1"/>
      <x:c r="AC524" s="1"/>
      <x:c r="AD524" s="1"/>
      <x:c r="AE524" s="1"/>
      <x:c r="AF524" s="1"/>
    </x:row>
    <x:row r="525" ht="15.75" customHeight="1">
      <x:c r="A525" s="1"/>
      <x:c r="B525" s="37"/>
      <x:c r="C525" s="38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1"/>
      <x:c r="Y525" s="1"/>
      <x:c r="Z525" s="1"/>
      <x:c r="AA525" s="1"/>
      <x:c r="AB525" s="1"/>
      <x:c r="AC525" s="1"/>
      <x:c r="AD525" s="1"/>
      <x:c r="AE525" s="1"/>
      <x:c r="AF525" s="1"/>
    </x:row>
    <x:row r="526" ht="15.75" customHeight="1">
      <x:c r="A526" s="1"/>
      <x:c r="B526" s="37"/>
      <x:c r="C526" s="38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1"/>
      <x:c r="Y526" s="1"/>
      <x:c r="Z526" s="1"/>
      <x:c r="AA526" s="1"/>
      <x:c r="AB526" s="1"/>
      <x:c r="AC526" s="1"/>
      <x:c r="AD526" s="1"/>
      <x:c r="AE526" s="1"/>
      <x:c r="AF526" s="1"/>
    </x:row>
    <x:row r="527" ht="15.75" customHeight="1">
      <x:c r="A527" s="1"/>
      <x:c r="B527" s="37"/>
      <x:c r="C527" s="38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1"/>
      <x:c r="Y527" s="1"/>
      <x:c r="Z527" s="1"/>
      <x:c r="AA527" s="1"/>
      <x:c r="AB527" s="1"/>
      <x:c r="AC527" s="1"/>
      <x:c r="AD527" s="1"/>
      <x:c r="AE527" s="1"/>
      <x:c r="AF527" s="1"/>
    </x:row>
    <x:row r="528" ht="15.75" customHeight="1">
      <x:c r="A528" s="1"/>
      <x:c r="B528" s="37"/>
      <x:c r="C528" s="38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1"/>
      <x:c r="Y528" s="1"/>
      <x:c r="Z528" s="1"/>
      <x:c r="AA528" s="1"/>
      <x:c r="AB528" s="1"/>
      <x:c r="AC528" s="1"/>
      <x:c r="AD528" s="1"/>
      <x:c r="AE528" s="1"/>
      <x:c r="AF528" s="1"/>
    </x:row>
    <x:row r="529" ht="15.75" customHeight="1">
      <x:c r="A529" s="1"/>
      <x:c r="B529" s="37"/>
      <x:c r="C529" s="38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1"/>
      <x:c r="Y529" s="1"/>
      <x:c r="Z529" s="1"/>
      <x:c r="AA529" s="1"/>
      <x:c r="AB529" s="1"/>
      <x:c r="AC529" s="1"/>
      <x:c r="AD529" s="1"/>
      <x:c r="AE529" s="1"/>
      <x:c r="AF529" s="1"/>
    </x:row>
    <x:row r="530" ht="15.75" customHeight="1">
      <x:c r="A530" s="1"/>
      <x:c r="B530" s="37"/>
      <x:c r="C530" s="38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1"/>
      <x:c r="Y530" s="1"/>
      <x:c r="Z530" s="1"/>
      <x:c r="AA530" s="1"/>
      <x:c r="AB530" s="1"/>
      <x:c r="AC530" s="1"/>
      <x:c r="AD530" s="1"/>
      <x:c r="AE530" s="1"/>
      <x:c r="AF530" s="1"/>
    </x:row>
    <x:row r="531" ht="15.75" customHeight="1">
      <x:c r="A531" s="1"/>
      <x:c r="B531" s="37"/>
      <x:c r="C531" s="38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1"/>
      <x:c r="Y531" s="1"/>
      <x:c r="Z531" s="1"/>
      <x:c r="AA531" s="1"/>
      <x:c r="AB531" s="1"/>
      <x:c r="AC531" s="1"/>
      <x:c r="AD531" s="1"/>
      <x:c r="AE531" s="1"/>
      <x:c r="AF531" s="1"/>
    </x:row>
    <x:row r="532" ht="15.75" customHeight="1">
      <x:c r="A532" s="1"/>
      <x:c r="B532" s="37"/>
      <x:c r="C532" s="38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1"/>
      <x:c r="Y532" s="1"/>
      <x:c r="Z532" s="1"/>
      <x:c r="AA532" s="1"/>
      <x:c r="AB532" s="1"/>
      <x:c r="AC532" s="1"/>
      <x:c r="AD532" s="1"/>
      <x:c r="AE532" s="1"/>
      <x:c r="AF532" s="1"/>
    </x:row>
    <x:row r="533" ht="15.75" customHeight="1">
      <x:c r="A533" s="1"/>
      <x:c r="B533" s="37"/>
      <x:c r="C533" s="38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1"/>
      <x:c r="Y533" s="1"/>
      <x:c r="Z533" s="1"/>
      <x:c r="AA533" s="1"/>
      <x:c r="AB533" s="1"/>
      <x:c r="AC533" s="1"/>
      <x:c r="AD533" s="1"/>
      <x:c r="AE533" s="1"/>
      <x:c r="AF533" s="1"/>
    </x:row>
    <x:row r="534" ht="15.75" customHeight="1">
      <x:c r="A534" s="1"/>
      <x:c r="B534" s="37"/>
      <x:c r="C534" s="38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1"/>
      <x:c r="Y534" s="1"/>
      <x:c r="Z534" s="1"/>
      <x:c r="AA534" s="1"/>
      <x:c r="AB534" s="1"/>
      <x:c r="AC534" s="1"/>
      <x:c r="AD534" s="1"/>
      <x:c r="AE534" s="1"/>
      <x:c r="AF534" s="1"/>
    </x:row>
    <x:row r="535" ht="15.75" customHeight="1">
      <x:c r="A535" s="1"/>
      <x:c r="B535" s="37"/>
      <x:c r="C535" s="38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1"/>
      <x:c r="Y535" s="1"/>
      <x:c r="Z535" s="1"/>
      <x:c r="AA535" s="1"/>
      <x:c r="AB535" s="1"/>
      <x:c r="AC535" s="1"/>
      <x:c r="AD535" s="1"/>
      <x:c r="AE535" s="1"/>
      <x:c r="AF535" s="1"/>
    </x:row>
    <x:row r="536" ht="15.75" customHeight="1">
      <x:c r="A536" s="1"/>
      <x:c r="B536" s="37"/>
      <x:c r="C536" s="38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1"/>
      <x:c r="Y536" s="1"/>
      <x:c r="Z536" s="1"/>
      <x:c r="AA536" s="1"/>
      <x:c r="AB536" s="1"/>
      <x:c r="AC536" s="1"/>
      <x:c r="AD536" s="1"/>
      <x:c r="AE536" s="1"/>
      <x:c r="AF536" s="1"/>
    </x:row>
    <x:row r="537" ht="15.75" customHeight="1">
      <x:c r="A537" s="1"/>
      <x:c r="B537" s="37"/>
      <x:c r="C537" s="38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1"/>
      <x:c r="Y537" s="1"/>
      <x:c r="Z537" s="1"/>
      <x:c r="AA537" s="1"/>
      <x:c r="AB537" s="1"/>
      <x:c r="AC537" s="1"/>
      <x:c r="AD537" s="1"/>
      <x:c r="AE537" s="1"/>
      <x:c r="AF537" s="1"/>
    </x:row>
    <x:row r="538" ht="15.75" customHeight="1">
      <x:c r="A538" s="1"/>
      <x:c r="B538" s="37"/>
      <x:c r="C538" s="38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1"/>
      <x:c r="Y538" s="1"/>
      <x:c r="Z538" s="1"/>
      <x:c r="AA538" s="1"/>
      <x:c r="AB538" s="1"/>
      <x:c r="AC538" s="1"/>
      <x:c r="AD538" s="1"/>
      <x:c r="AE538" s="1"/>
      <x:c r="AF538" s="1"/>
    </x:row>
    <x:row r="539" ht="15.75" customHeight="1">
      <x:c r="A539" s="1"/>
      <x:c r="B539" s="37"/>
      <x:c r="C539" s="38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1"/>
      <x:c r="Y539" s="1"/>
      <x:c r="Z539" s="1"/>
      <x:c r="AA539" s="1"/>
      <x:c r="AB539" s="1"/>
      <x:c r="AC539" s="1"/>
      <x:c r="AD539" s="1"/>
      <x:c r="AE539" s="1"/>
      <x:c r="AF539" s="1"/>
    </x:row>
    <x:row r="540" ht="15.75" customHeight="1">
      <x:c r="A540" s="1"/>
      <x:c r="B540" s="37"/>
      <x:c r="C540" s="38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1"/>
      <x:c r="Y540" s="1"/>
      <x:c r="Z540" s="1"/>
      <x:c r="AA540" s="1"/>
      <x:c r="AB540" s="1"/>
      <x:c r="AC540" s="1"/>
      <x:c r="AD540" s="1"/>
      <x:c r="AE540" s="1"/>
      <x:c r="AF540" s="1"/>
    </x:row>
    <x:row r="541" ht="15.75" customHeight="1">
      <x:c r="A541" s="1"/>
      <x:c r="B541" s="37"/>
      <x:c r="C541" s="38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1"/>
      <x:c r="Y541" s="1"/>
      <x:c r="Z541" s="1"/>
      <x:c r="AA541" s="1"/>
      <x:c r="AB541" s="1"/>
      <x:c r="AC541" s="1"/>
      <x:c r="AD541" s="1"/>
      <x:c r="AE541" s="1"/>
      <x:c r="AF541" s="1"/>
    </x:row>
    <x:row r="542" ht="15.75" customHeight="1">
      <x:c r="A542" s="1"/>
      <x:c r="B542" s="37"/>
      <x:c r="C542" s="38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1"/>
      <x:c r="Y542" s="1"/>
      <x:c r="Z542" s="1"/>
      <x:c r="AA542" s="1"/>
      <x:c r="AB542" s="1"/>
      <x:c r="AC542" s="1"/>
      <x:c r="AD542" s="1"/>
      <x:c r="AE542" s="1"/>
      <x:c r="AF542" s="1"/>
    </x:row>
    <x:row r="543" ht="15.75" customHeight="1">
      <x:c r="A543" s="1"/>
      <x:c r="B543" s="37"/>
      <x:c r="C543" s="38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1"/>
      <x:c r="Y543" s="1"/>
      <x:c r="Z543" s="1"/>
      <x:c r="AA543" s="1"/>
      <x:c r="AB543" s="1"/>
      <x:c r="AC543" s="1"/>
      <x:c r="AD543" s="1"/>
      <x:c r="AE543" s="1"/>
      <x:c r="AF543" s="1"/>
    </x:row>
    <x:row r="544" ht="15.75" customHeight="1">
      <x:c r="A544" s="1"/>
      <x:c r="B544" s="37"/>
      <x:c r="C544" s="38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1"/>
      <x:c r="Y544" s="1"/>
      <x:c r="Z544" s="1"/>
      <x:c r="AA544" s="1"/>
      <x:c r="AB544" s="1"/>
      <x:c r="AC544" s="1"/>
      <x:c r="AD544" s="1"/>
      <x:c r="AE544" s="1"/>
      <x:c r="AF544" s="1"/>
    </x:row>
    <x:row r="545" ht="15.75" customHeight="1">
      <x:c r="A545" s="1"/>
      <x:c r="B545" s="37"/>
      <x:c r="C545" s="38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1"/>
      <x:c r="Y545" s="1"/>
      <x:c r="Z545" s="1"/>
      <x:c r="AA545" s="1"/>
      <x:c r="AB545" s="1"/>
      <x:c r="AC545" s="1"/>
      <x:c r="AD545" s="1"/>
      <x:c r="AE545" s="1"/>
      <x:c r="AF545" s="1"/>
    </x:row>
    <x:row r="546" ht="15.75" customHeight="1">
      <x:c r="A546" s="1"/>
      <x:c r="B546" s="37"/>
      <x:c r="C546" s="38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1"/>
      <x:c r="Y546" s="1"/>
      <x:c r="Z546" s="1"/>
      <x:c r="AA546" s="1"/>
      <x:c r="AB546" s="1"/>
      <x:c r="AC546" s="1"/>
      <x:c r="AD546" s="1"/>
      <x:c r="AE546" s="1"/>
      <x:c r="AF546" s="1"/>
    </x:row>
    <x:row r="547" ht="15.75" customHeight="1">
      <x:c r="A547" s="1"/>
      <x:c r="B547" s="37"/>
      <x:c r="C547" s="38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1"/>
      <x:c r="Y547" s="1"/>
      <x:c r="Z547" s="1"/>
      <x:c r="AA547" s="1"/>
      <x:c r="AB547" s="1"/>
      <x:c r="AC547" s="1"/>
      <x:c r="AD547" s="1"/>
      <x:c r="AE547" s="1"/>
      <x:c r="AF547" s="1"/>
    </x:row>
    <x:row r="548" ht="15.75" customHeight="1">
      <x:c r="A548" s="1"/>
      <x:c r="B548" s="37"/>
      <x:c r="C548" s="38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1"/>
      <x:c r="Y548" s="1"/>
      <x:c r="Z548" s="1"/>
      <x:c r="AA548" s="1"/>
      <x:c r="AB548" s="1"/>
      <x:c r="AC548" s="1"/>
      <x:c r="AD548" s="1"/>
      <x:c r="AE548" s="1"/>
      <x:c r="AF548" s="1"/>
    </x:row>
    <x:row r="549" ht="15.75" customHeight="1">
      <x:c r="A549" s="1"/>
      <x:c r="B549" s="37"/>
      <x:c r="C549" s="38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1"/>
      <x:c r="Y549" s="1"/>
      <x:c r="Z549" s="1"/>
      <x:c r="AA549" s="1"/>
      <x:c r="AB549" s="1"/>
      <x:c r="AC549" s="1"/>
      <x:c r="AD549" s="1"/>
      <x:c r="AE549" s="1"/>
      <x:c r="AF549" s="1"/>
    </x:row>
    <x:row r="550" ht="15.75" customHeight="1">
      <x:c r="A550" s="1"/>
      <x:c r="B550" s="37"/>
      <x:c r="C550" s="38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1"/>
      <x:c r="Y550" s="1"/>
      <x:c r="Z550" s="1"/>
      <x:c r="AA550" s="1"/>
      <x:c r="AB550" s="1"/>
      <x:c r="AC550" s="1"/>
      <x:c r="AD550" s="1"/>
      <x:c r="AE550" s="1"/>
      <x:c r="AF550" s="1"/>
    </x:row>
    <x:row r="551" ht="15.75" customHeight="1">
      <x:c r="A551" s="1"/>
      <x:c r="B551" s="37"/>
      <x:c r="C551" s="38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1"/>
      <x:c r="Y551" s="1"/>
      <x:c r="Z551" s="1"/>
      <x:c r="AA551" s="1"/>
      <x:c r="AB551" s="1"/>
      <x:c r="AC551" s="1"/>
      <x:c r="AD551" s="1"/>
      <x:c r="AE551" s="1"/>
      <x:c r="AF551" s="1"/>
    </x:row>
    <x:row r="552" ht="15.75" customHeight="1">
      <x:c r="A552" s="1"/>
      <x:c r="B552" s="37"/>
      <x:c r="C552" s="38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1"/>
      <x:c r="Y552" s="1"/>
      <x:c r="Z552" s="1"/>
      <x:c r="AA552" s="1"/>
      <x:c r="AB552" s="1"/>
      <x:c r="AC552" s="1"/>
      <x:c r="AD552" s="1"/>
      <x:c r="AE552" s="1"/>
      <x:c r="AF552" s="1"/>
    </x:row>
    <x:row r="553" ht="15.75" customHeight="1">
      <x:c r="A553" s="1"/>
      <x:c r="B553" s="37"/>
      <x:c r="C553" s="38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1"/>
      <x:c r="Y553" s="1"/>
      <x:c r="Z553" s="1"/>
      <x:c r="AA553" s="1"/>
      <x:c r="AB553" s="1"/>
      <x:c r="AC553" s="1"/>
      <x:c r="AD553" s="1"/>
      <x:c r="AE553" s="1"/>
      <x:c r="AF553" s="1"/>
    </x:row>
    <x:row r="554" ht="15.75" customHeight="1">
      <x:c r="A554" s="1"/>
      <x:c r="B554" s="37"/>
      <x:c r="C554" s="38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1"/>
      <x:c r="Y554" s="1"/>
      <x:c r="Z554" s="1"/>
      <x:c r="AA554" s="1"/>
      <x:c r="AB554" s="1"/>
      <x:c r="AC554" s="1"/>
      <x:c r="AD554" s="1"/>
      <x:c r="AE554" s="1"/>
      <x:c r="AF554" s="1"/>
    </x:row>
    <x:row r="555" ht="15.75" customHeight="1">
      <x:c r="A555" s="1"/>
      <x:c r="B555" s="37"/>
      <x:c r="C555" s="38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1"/>
      <x:c r="Y555" s="1"/>
      <x:c r="Z555" s="1"/>
      <x:c r="AA555" s="1"/>
      <x:c r="AB555" s="1"/>
      <x:c r="AC555" s="1"/>
      <x:c r="AD555" s="1"/>
      <x:c r="AE555" s="1"/>
      <x:c r="AF555" s="1"/>
    </x:row>
    <x:row r="556" ht="15.75" customHeight="1">
      <x:c r="A556" s="1"/>
      <x:c r="B556" s="37"/>
      <x:c r="C556" s="38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1"/>
      <x:c r="Y556" s="1"/>
      <x:c r="Z556" s="1"/>
      <x:c r="AA556" s="1"/>
      <x:c r="AB556" s="1"/>
      <x:c r="AC556" s="1"/>
      <x:c r="AD556" s="1"/>
      <x:c r="AE556" s="1"/>
      <x:c r="AF556" s="1"/>
    </x:row>
    <x:row r="557" ht="15.75" customHeight="1">
      <x:c r="A557" s="1"/>
      <x:c r="B557" s="37"/>
      <x:c r="C557" s="38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1"/>
      <x:c r="Y557" s="1"/>
      <x:c r="Z557" s="1"/>
      <x:c r="AA557" s="1"/>
      <x:c r="AB557" s="1"/>
      <x:c r="AC557" s="1"/>
      <x:c r="AD557" s="1"/>
      <x:c r="AE557" s="1"/>
      <x:c r="AF557" s="1"/>
    </x:row>
    <x:row r="558" ht="15.75" customHeight="1">
      <x:c r="A558" s="1"/>
      <x:c r="B558" s="37"/>
      <x:c r="C558" s="38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1"/>
      <x:c r="Y558" s="1"/>
      <x:c r="Z558" s="1"/>
      <x:c r="AA558" s="1"/>
      <x:c r="AB558" s="1"/>
      <x:c r="AC558" s="1"/>
      <x:c r="AD558" s="1"/>
      <x:c r="AE558" s="1"/>
      <x:c r="AF558" s="1"/>
    </x:row>
    <x:row r="559" ht="15.75" customHeight="1">
      <x:c r="A559" s="1"/>
      <x:c r="B559" s="37"/>
      <x:c r="C559" s="38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1"/>
      <x:c r="Y559" s="1"/>
      <x:c r="Z559" s="1"/>
      <x:c r="AA559" s="1"/>
      <x:c r="AB559" s="1"/>
      <x:c r="AC559" s="1"/>
      <x:c r="AD559" s="1"/>
      <x:c r="AE559" s="1"/>
      <x:c r="AF559" s="1"/>
    </x:row>
    <x:row r="560" ht="15.75" customHeight="1">
      <x:c r="A560" s="1"/>
      <x:c r="B560" s="37"/>
      <x:c r="C560" s="38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1"/>
      <x:c r="Y560" s="1"/>
      <x:c r="Z560" s="1"/>
      <x:c r="AA560" s="1"/>
      <x:c r="AB560" s="1"/>
      <x:c r="AC560" s="1"/>
      <x:c r="AD560" s="1"/>
      <x:c r="AE560" s="1"/>
      <x:c r="AF560" s="1"/>
    </x:row>
    <x:row r="561" ht="15.75" customHeight="1">
      <x:c r="A561" s="1"/>
      <x:c r="B561" s="37"/>
      <x:c r="C561" s="38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1"/>
      <x:c r="Y561" s="1"/>
      <x:c r="Z561" s="1"/>
      <x:c r="AA561" s="1"/>
      <x:c r="AB561" s="1"/>
      <x:c r="AC561" s="1"/>
      <x:c r="AD561" s="1"/>
      <x:c r="AE561" s="1"/>
      <x:c r="AF561" s="1"/>
    </x:row>
    <x:row r="562" ht="15.75" customHeight="1">
      <x:c r="A562" s="1"/>
      <x:c r="B562" s="37"/>
      <x:c r="C562" s="38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1"/>
      <x:c r="Y562" s="1"/>
      <x:c r="Z562" s="1"/>
      <x:c r="AA562" s="1"/>
      <x:c r="AB562" s="1"/>
      <x:c r="AC562" s="1"/>
      <x:c r="AD562" s="1"/>
      <x:c r="AE562" s="1"/>
      <x:c r="AF562" s="1"/>
    </x:row>
    <x:row r="563" ht="15.75" customHeight="1">
      <x:c r="A563" s="1"/>
      <x:c r="B563" s="37"/>
      <x:c r="C563" s="38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1"/>
      <x:c r="Y563" s="1"/>
      <x:c r="Z563" s="1"/>
      <x:c r="AA563" s="1"/>
      <x:c r="AB563" s="1"/>
      <x:c r="AC563" s="1"/>
      <x:c r="AD563" s="1"/>
      <x:c r="AE563" s="1"/>
      <x:c r="AF563" s="1"/>
    </x:row>
    <x:row r="564" ht="15.75" customHeight="1">
      <x:c r="A564" s="1"/>
      <x:c r="B564" s="37"/>
      <x:c r="C564" s="38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1"/>
      <x:c r="Y564" s="1"/>
      <x:c r="Z564" s="1"/>
      <x:c r="AA564" s="1"/>
      <x:c r="AB564" s="1"/>
      <x:c r="AC564" s="1"/>
      <x:c r="AD564" s="1"/>
      <x:c r="AE564" s="1"/>
      <x:c r="AF564" s="1"/>
    </x:row>
    <x:row r="565" ht="15.75" customHeight="1">
      <x:c r="A565" s="1"/>
      <x:c r="B565" s="37"/>
      <x:c r="C565" s="38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1"/>
      <x:c r="Y565" s="1"/>
      <x:c r="Z565" s="1"/>
      <x:c r="AA565" s="1"/>
      <x:c r="AB565" s="1"/>
      <x:c r="AC565" s="1"/>
      <x:c r="AD565" s="1"/>
      <x:c r="AE565" s="1"/>
      <x:c r="AF565" s="1"/>
    </x:row>
    <x:row r="566" ht="15.75" customHeight="1">
      <x:c r="A566" s="1"/>
      <x:c r="B566" s="37"/>
      <x:c r="C566" s="38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1"/>
      <x:c r="Y566" s="1"/>
      <x:c r="Z566" s="1"/>
      <x:c r="AA566" s="1"/>
      <x:c r="AB566" s="1"/>
      <x:c r="AC566" s="1"/>
      <x:c r="AD566" s="1"/>
      <x:c r="AE566" s="1"/>
      <x:c r="AF566" s="1"/>
    </x:row>
    <x:row r="567" ht="15.75" customHeight="1">
      <x:c r="A567" s="1"/>
      <x:c r="B567" s="37"/>
      <x:c r="C567" s="38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1"/>
      <x:c r="Y567" s="1"/>
      <x:c r="Z567" s="1"/>
      <x:c r="AA567" s="1"/>
      <x:c r="AB567" s="1"/>
      <x:c r="AC567" s="1"/>
      <x:c r="AD567" s="1"/>
      <x:c r="AE567" s="1"/>
      <x:c r="AF567" s="1"/>
    </x:row>
    <x:row r="568" ht="15.75" customHeight="1">
      <x:c r="A568" s="1"/>
      <x:c r="B568" s="37"/>
      <x:c r="C568" s="38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1"/>
      <x:c r="Y568" s="1"/>
      <x:c r="Z568" s="1"/>
      <x:c r="AA568" s="1"/>
      <x:c r="AB568" s="1"/>
      <x:c r="AC568" s="1"/>
      <x:c r="AD568" s="1"/>
      <x:c r="AE568" s="1"/>
      <x:c r="AF568" s="1"/>
    </x:row>
    <x:row r="569" ht="15.75" customHeight="1">
      <x:c r="A569" s="1"/>
      <x:c r="B569" s="37"/>
      <x:c r="C569" s="38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1"/>
      <x:c r="Y569" s="1"/>
      <x:c r="Z569" s="1"/>
      <x:c r="AA569" s="1"/>
      <x:c r="AB569" s="1"/>
      <x:c r="AC569" s="1"/>
      <x:c r="AD569" s="1"/>
      <x:c r="AE569" s="1"/>
      <x:c r="AF569" s="1"/>
    </x:row>
    <x:row r="570" ht="15.75" customHeight="1">
      <x:c r="A570" s="1"/>
      <x:c r="B570" s="37"/>
      <x:c r="C570" s="38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1"/>
      <x:c r="Y570" s="1"/>
      <x:c r="Z570" s="1"/>
      <x:c r="AA570" s="1"/>
      <x:c r="AB570" s="1"/>
      <x:c r="AC570" s="1"/>
      <x:c r="AD570" s="1"/>
      <x:c r="AE570" s="1"/>
      <x:c r="AF570" s="1"/>
    </x:row>
    <x:row r="571" ht="15.75" customHeight="1">
      <x:c r="A571" s="1"/>
      <x:c r="B571" s="37"/>
      <x:c r="C571" s="38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1"/>
      <x:c r="Y571" s="1"/>
      <x:c r="Z571" s="1"/>
      <x:c r="AA571" s="1"/>
      <x:c r="AB571" s="1"/>
      <x:c r="AC571" s="1"/>
      <x:c r="AD571" s="1"/>
      <x:c r="AE571" s="1"/>
      <x:c r="AF571" s="1"/>
    </x:row>
    <x:row r="572" ht="15.75" customHeight="1">
      <x:c r="A572" s="1"/>
      <x:c r="B572" s="37"/>
      <x:c r="C572" s="38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1"/>
      <x:c r="Y572" s="1"/>
      <x:c r="Z572" s="1"/>
      <x:c r="AA572" s="1"/>
      <x:c r="AB572" s="1"/>
      <x:c r="AC572" s="1"/>
      <x:c r="AD572" s="1"/>
      <x:c r="AE572" s="1"/>
      <x:c r="AF572" s="1"/>
    </x:row>
    <x:row r="573" ht="15.75" customHeight="1">
      <x:c r="A573" s="1"/>
      <x:c r="B573" s="37"/>
      <x:c r="C573" s="38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1"/>
      <x:c r="Y573" s="1"/>
      <x:c r="Z573" s="1"/>
      <x:c r="AA573" s="1"/>
      <x:c r="AB573" s="1"/>
      <x:c r="AC573" s="1"/>
      <x:c r="AD573" s="1"/>
      <x:c r="AE573" s="1"/>
      <x:c r="AF573" s="1"/>
    </x:row>
    <x:row r="574" ht="15.75" customHeight="1">
      <x:c r="A574" s="1"/>
      <x:c r="B574" s="37"/>
      <x:c r="C574" s="38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1"/>
      <x:c r="Y574" s="1"/>
      <x:c r="Z574" s="1"/>
      <x:c r="AA574" s="1"/>
      <x:c r="AB574" s="1"/>
      <x:c r="AC574" s="1"/>
      <x:c r="AD574" s="1"/>
      <x:c r="AE574" s="1"/>
      <x:c r="AF574" s="1"/>
    </x:row>
    <x:row r="575" ht="15.75" customHeight="1">
      <x:c r="A575" s="1"/>
      <x:c r="B575" s="37"/>
      <x:c r="C575" s="38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1"/>
      <x:c r="Y575" s="1"/>
      <x:c r="Z575" s="1"/>
      <x:c r="AA575" s="1"/>
      <x:c r="AB575" s="1"/>
      <x:c r="AC575" s="1"/>
      <x:c r="AD575" s="1"/>
      <x:c r="AE575" s="1"/>
      <x:c r="AF575" s="1"/>
    </x:row>
    <x:row r="576" ht="15.75" customHeight="1">
      <x:c r="A576" s="1"/>
      <x:c r="B576" s="37"/>
      <x:c r="C576" s="38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1"/>
      <x:c r="Y576" s="1"/>
      <x:c r="Z576" s="1"/>
      <x:c r="AA576" s="1"/>
      <x:c r="AB576" s="1"/>
      <x:c r="AC576" s="1"/>
      <x:c r="AD576" s="1"/>
      <x:c r="AE576" s="1"/>
      <x:c r="AF576" s="1"/>
    </x:row>
    <x:row r="577" ht="15.75" customHeight="1">
      <x:c r="A577" s="1"/>
      <x:c r="B577" s="37"/>
      <x:c r="C577" s="38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1"/>
      <x:c r="Y577" s="1"/>
      <x:c r="Z577" s="1"/>
      <x:c r="AA577" s="1"/>
      <x:c r="AB577" s="1"/>
      <x:c r="AC577" s="1"/>
      <x:c r="AD577" s="1"/>
      <x:c r="AE577" s="1"/>
      <x:c r="AF577" s="1"/>
    </x:row>
    <x:row r="578" ht="15.75" customHeight="1">
      <x:c r="A578" s="1"/>
      <x:c r="B578" s="37"/>
      <x:c r="C578" s="38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1"/>
      <x:c r="Y578" s="1"/>
      <x:c r="Z578" s="1"/>
      <x:c r="AA578" s="1"/>
      <x:c r="AB578" s="1"/>
      <x:c r="AC578" s="1"/>
      <x:c r="AD578" s="1"/>
      <x:c r="AE578" s="1"/>
      <x:c r="AF578" s="1"/>
    </x:row>
    <x:row r="579" ht="15.75" customHeight="1">
      <x:c r="A579" s="1"/>
      <x:c r="B579" s="37"/>
      <x:c r="C579" s="38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1"/>
      <x:c r="Y579" s="1"/>
      <x:c r="Z579" s="1"/>
      <x:c r="AA579" s="1"/>
      <x:c r="AB579" s="1"/>
      <x:c r="AC579" s="1"/>
      <x:c r="AD579" s="1"/>
      <x:c r="AE579" s="1"/>
      <x:c r="AF579" s="1"/>
    </x:row>
    <x:row r="580" ht="15.75" customHeight="1">
      <x:c r="A580" s="1"/>
      <x:c r="B580" s="37"/>
      <x:c r="C580" s="38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1"/>
      <x:c r="Y580" s="1"/>
      <x:c r="Z580" s="1"/>
      <x:c r="AA580" s="1"/>
      <x:c r="AB580" s="1"/>
      <x:c r="AC580" s="1"/>
      <x:c r="AD580" s="1"/>
      <x:c r="AE580" s="1"/>
      <x:c r="AF580" s="1"/>
    </x:row>
    <x:row r="581" ht="15.75" customHeight="1">
      <x:c r="A581" s="1"/>
      <x:c r="B581" s="37"/>
      <x:c r="C581" s="38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1"/>
      <x:c r="Y581" s="1"/>
      <x:c r="Z581" s="1"/>
      <x:c r="AA581" s="1"/>
      <x:c r="AB581" s="1"/>
      <x:c r="AC581" s="1"/>
      <x:c r="AD581" s="1"/>
      <x:c r="AE581" s="1"/>
      <x:c r="AF581" s="1"/>
    </x:row>
    <x:row r="582" ht="15.75" customHeight="1">
      <x:c r="A582" s="1"/>
      <x:c r="B582" s="37"/>
      <x:c r="C582" s="38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1"/>
      <x:c r="Y582" s="1"/>
      <x:c r="Z582" s="1"/>
      <x:c r="AA582" s="1"/>
      <x:c r="AB582" s="1"/>
      <x:c r="AC582" s="1"/>
      <x:c r="AD582" s="1"/>
      <x:c r="AE582" s="1"/>
      <x:c r="AF582" s="1"/>
    </x:row>
    <x:row r="583" ht="15.75" customHeight="1">
      <x:c r="A583" s="1"/>
      <x:c r="B583" s="37"/>
      <x:c r="C583" s="38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1"/>
      <x:c r="Y583" s="1"/>
      <x:c r="Z583" s="1"/>
      <x:c r="AA583" s="1"/>
      <x:c r="AB583" s="1"/>
      <x:c r="AC583" s="1"/>
      <x:c r="AD583" s="1"/>
      <x:c r="AE583" s="1"/>
      <x:c r="AF583" s="1"/>
    </x:row>
    <x:row r="584" ht="15.75" customHeight="1">
      <x:c r="A584" s="1"/>
      <x:c r="B584" s="37"/>
      <x:c r="C584" s="38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1"/>
      <x:c r="Y584" s="1"/>
      <x:c r="Z584" s="1"/>
      <x:c r="AA584" s="1"/>
      <x:c r="AB584" s="1"/>
      <x:c r="AC584" s="1"/>
      <x:c r="AD584" s="1"/>
      <x:c r="AE584" s="1"/>
      <x:c r="AF584" s="1"/>
    </x:row>
    <x:row r="585" ht="15.75" customHeight="1">
      <x:c r="A585" s="1"/>
      <x:c r="B585" s="37"/>
      <x:c r="C585" s="38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1"/>
      <x:c r="Y585" s="1"/>
      <x:c r="Z585" s="1"/>
      <x:c r="AA585" s="1"/>
      <x:c r="AB585" s="1"/>
      <x:c r="AC585" s="1"/>
      <x:c r="AD585" s="1"/>
      <x:c r="AE585" s="1"/>
      <x:c r="AF585" s="1"/>
    </x:row>
    <x:row r="586" ht="15.75" customHeight="1">
      <x:c r="A586" s="1"/>
      <x:c r="B586" s="37"/>
      <x:c r="C586" s="38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1"/>
      <x:c r="Y586" s="1"/>
      <x:c r="Z586" s="1"/>
      <x:c r="AA586" s="1"/>
      <x:c r="AB586" s="1"/>
      <x:c r="AC586" s="1"/>
      <x:c r="AD586" s="1"/>
      <x:c r="AE586" s="1"/>
      <x:c r="AF586" s="1"/>
    </x:row>
    <x:row r="587" ht="15.75" customHeight="1">
      <x:c r="A587" s="1"/>
      <x:c r="B587" s="37"/>
      <x:c r="C587" s="38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1"/>
      <x:c r="Y587" s="1"/>
      <x:c r="Z587" s="1"/>
      <x:c r="AA587" s="1"/>
      <x:c r="AB587" s="1"/>
      <x:c r="AC587" s="1"/>
      <x:c r="AD587" s="1"/>
      <x:c r="AE587" s="1"/>
      <x:c r="AF587" s="1"/>
    </x:row>
    <x:row r="588" ht="15.75" customHeight="1">
      <x:c r="A588" s="1"/>
      <x:c r="B588" s="37"/>
      <x:c r="C588" s="38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1"/>
      <x:c r="Y588" s="1"/>
      <x:c r="Z588" s="1"/>
      <x:c r="AA588" s="1"/>
      <x:c r="AB588" s="1"/>
      <x:c r="AC588" s="1"/>
      <x:c r="AD588" s="1"/>
      <x:c r="AE588" s="1"/>
      <x:c r="AF588" s="1"/>
    </x:row>
    <x:row r="589" ht="15.75" customHeight="1">
      <x:c r="A589" s="1"/>
      <x:c r="B589" s="37"/>
      <x:c r="C589" s="38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1"/>
      <x:c r="Y589" s="1"/>
      <x:c r="Z589" s="1"/>
      <x:c r="AA589" s="1"/>
      <x:c r="AB589" s="1"/>
      <x:c r="AC589" s="1"/>
      <x:c r="AD589" s="1"/>
      <x:c r="AE589" s="1"/>
      <x:c r="AF589" s="1"/>
    </x:row>
    <x:row r="590" ht="15.75" customHeight="1">
      <x:c r="A590" s="1"/>
      <x:c r="B590" s="37"/>
      <x:c r="C590" s="38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1"/>
      <x:c r="Y590" s="1"/>
      <x:c r="Z590" s="1"/>
      <x:c r="AA590" s="1"/>
      <x:c r="AB590" s="1"/>
      <x:c r="AC590" s="1"/>
      <x:c r="AD590" s="1"/>
      <x:c r="AE590" s="1"/>
      <x:c r="AF590" s="1"/>
    </x:row>
    <x:row r="591" ht="15.75" customHeight="1">
      <x:c r="A591" s="1"/>
      <x:c r="B591" s="37"/>
      <x:c r="C591" s="38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1"/>
      <x:c r="Y591" s="1"/>
      <x:c r="Z591" s="1"/>
      <x:c r="AA591" s="1"/>
      <x:c r="AB591" s="1"/>
      <x:c r="AC591" s="1"/>
      <x:c r="AD591" s="1"/>
      <x:c r="AE591" s="1"/>
      <x:c r="AF591" s="1"/>
    </x:row>
    <x:row r="592" ht="15.75" customHeight="1">
      <x:c r="A592" s="1"/>
      <x:c r="B592" s="37"/>
      <x:c r="C592" s="38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1"/>
      <x:c r="Y592" s="1"/>
      <x:c r="Z592" s="1"/>
      <x:c r="AA592" s="1"/>
      <x:c r="AB592" s="1"/>
      <x:c r="AC592" s="1"/>
      <x:c r="AD592" s="1"/>
      <x:c r="AE592" s="1"/>
      <x:c r="AF592" s="1"/>
    </x:row>
    <x:row r="593" ht="15.75" customHeight="1">
      <x:c r="A593" s="1"/>
      <x:c r="B593" s="37"/>
      <x:c r="C593" s="38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1"/>
      <x:c r="Y593" s="1"/>
      <x:c r="Z593" s="1"/>
      <x:c r="AA593" s="1"/>
      <x:c r="AB593" s="1"/>
      <x:c r="AC593" s="1"/>
      <x:c r="AD593" s="1"/>
      <x:c r="AE593" s="1"/>
      <x:c r="AF593" s="1"/>
    </x:row>
    <x:row r="594" ht="15.75" customHeight="1">
      <x:c r="A594" s="1"/>
      <x:c r="B594" s="37"/>
      <x:c r="C594" s="38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1"/>
      <x:c r="Y594" s="1"/>
      <x:c r="Z594" s="1"/>
      <x:c r="AA594" s="1"/>
      <x:c r="AB594" s="1"/>
      <x:c r="AC594" s="1"/>
      <x:c r="AD594" s="1"/>
      <x:c r="AE594" s="1"/>
      <x:c r="AF594" s="1"/>
    </x:row>
    <x:row r="595" ht="15.75" customHeight="1">
      <x:c r="A595" s="1"/>
      <x:c r="B595" s="37"/>
      <x:c r="C595" s="38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1"/>
      <x:c r="Y595" s="1"/>
      <x:c r="Z595" s="1"/>
      <x:c r="AA595" s="1"/>
      <x:c r="AB595" s="1"/>
      <x:c r="AC595" s="1"/>
      <x:c r="AD595" s="1"/>
      <x:c r="AE595" s="1"/>
      <x:c r="AF595" s="1"/>
    </x:row>
    <x:row r="596" ht="15.75" customHeight="1">
      <x:c r="A596" s="1"/>
      <x:c r="B596" s="37"/>
      <x:c r="C596" s="38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1"/>
      <x:c r="Y596" s="1"/>
      <x:c r="Z596" s="1"/>
      <x:c r="AA596" s="1"/>
      <x:c r="AB596" s="1"/>
      <x:c r="AC596" s="1"/>
      <x:c r="AD596" s="1"/>
      <x:c r="AE596" s="1"/>
      <x:c r="AF596" s="1"/>
    </x:row>
    <x:row r="597" ht="15.75" customHeight="1">
      <x:c r="A597" s="1"/>
      <x:c r="B597" s="37"/>
      <x:c r="C597" s="38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1"/>
      <x:c r="Y597" s="1"/>
      <x:c r="Z597" s="1"/>
      <x:c r="AA597" s="1"/>
      <x:c r="AB597" s="1"/>
      <x:c r="AC597" s="1"/>
      <x:c r="AD597" s="1"/>
      <x:c r="AE597" s="1"/>
      <x:c r="AF597" s="1"/>
    </x:row>
    <x:row r="598" ht="15.75" customHeight="1">
      <x:c r="A598" s="1"/>
      <x:c r="B598" s="37"/>
      <x:c r="C598" s="38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1"/>
      <x:c r="Y598" s="1"/>
      <x:c r="Z598" s="1"/>
      <x:c r="AA598" s="1"/>
      <x:c r="AB598" s="1"/>
      <x:c r="AC598" s="1"/>
      <x:c r="AD598" s="1"/>
      <x:c r="AE598" s="1"/>
      <x:c r="AF598" s="1"/>
    </x:row>
    <x:row r="599" ht="15.75" customHeight="1">
      <x:c r="A599" s="1"/>
      <x:c r="B599" s="37"/>
      <x:c r="C599" s="38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1"/>
      <x:c r="Y599" s="1"/>
      <x:c r="Z599" s="1"/>
      <x:c r="AA599" s="1"/>
      <x:c r="AB599" s="1"/>
      <x:c r="AC599" s="1"/>
      <x:c r="AD599" s="1"/>
      <x:c r="AE599" s="1"/>
      <x:c r="AF599" s="1"/>
    </x:row>
    <x:row r="600" ht="15.75" customHeight="1">
      <x:c r="A600" s="1"/>
      <x:c r="B600" s="37"/>
      <x:c r="C600" s="38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1"/>
      <x:c r="Y600" s="1"/>
      <x:c r="Z600" s="1"/>
      <x:c r="AA600" s="1"/>
      <x:c r="AB600" s="1"/>
      <x:c r="AC600" s="1"/>
      <x:c r="AD600" s="1"/>
      <x:c r="AE600" s="1"/>
      <x:c r="AF600" s="1"/>
    </x:row>
    <x:row r="601" ht="15.75" customHeight="1">
      <x:c r="A601" s="1"/>
      <x:c r="B601" s="37"/>
      <x:c r="C601" s="38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1"/>
      <x:c r="Y601" s="1"/>
      <x:c r="Z601" s="1"/>
      <x:c r="AA601" s="1"/>
      <x:c r="AB601" s="1"/>
      <x:c r="AC601" s="1"/>
      <x:c r="AD601" s="1"/>
      <x:c r="AE601" s="1"/>
      <x:c r="AF601" s="1"/>
    </x:row>
    <x:row r="602" ht="15.75" customHeight="1">
      <x:c r="A602" s="1"/>
      <x:c r="B602" s="37"/>
      <x:c r="C602" s="38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1"/>
      <x:c r="Y602" s="1"/>
      <x:c r="Z602" s="1"/>
      <x:c r="AA602" s="1"/>
      <x:c r="AB602" s="1"/>
      <x:c r="AC602" s="1"/>
      <x:c r="AD602" s="1"/>
      <x:c r="AE602" s="1"/>
      <x:c r="AF602" s="1"/>
    </x:row>
    <x:row r="603" ht="15.75" customHeight="1">
      <x:c r="A603" s="1"/>
      <x:c r="B603" s="37"/>
      <x:c r="C603" s="38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1"/>
      <x:c r="Y603" s="1"/>
      <x:c r="Z603" s="1"/>
      <x:c r="AA603" s="1"/>
      <x:c r="AB603" s="1"/>
      <x:c r="AC603" s="1"/>
      <x:c r="AD603" s="1"/>
      <x:c r="AE603" s="1"/>
      <x:c r="AF603" s="1"/>
    </x:row>
    <x:row r="604" ht="15.75" customHeight="1">
      <x:c r="A604" s="1"/>
      <x:c r="B604" s="37"/>
      <x:c r="C604" s="38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1"/>
      <x:c r="Y604" s="1"/>
      <x:c r="Z604" s="1"/>
      <x:c r="AA604" s="1"/>
      <x:c r="AB604" s="1"/>
      <x:c r="AC604" s="1"/>
      <x:c r="AD604" s="1"/>
      <x:c r="AE604" s="1"/>
      <x:c r="AF604" s="1"/>
    </x:row>
    <x:row r="605" ht="15.75" customHeight="1">
      <x:c r="A605" s="1"/>
      <x:c r="B605" s="37"/>
      <x:c r="C605" s="38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1"/>
      <x:c r="Y605" s="1"/>
      <x:c r="Z605" s="1"/>
      <x:c r="AA605" s="1"/>
      <x:c r="AB605" s="1"/>
      <x:c r="AC605" s="1"/>
      <x:c r="AD605" s="1"/>
      <x:c r="AE605" s="1"/>
      <x:c r="AF605" s="1"/>
    </x:row>
    <x:row r="606" ht="15.75" customHeight="1">
      <x:c r="A606" s="1"/>
      <x:c r="B606" s="37"/>
      <x:c r="C606" s="38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1"/>
      <x:c r="Y606" s="1"/>
      <x:c r="Z606" s="1"/>
      <x:c r="AA606" s="1"/>
      <x:c r="AB606" s="1"/>
      <x:c r="AC606" s="1"/>
      <x:c r="AD606" s="1"/>
      <x:c r="AE606" s="1"/>
      <x:c r="AF606" s="1"/>
    </x:row>
    <x:row r="607" ht="15.75" customHeight="1">
      <x:c r="A607" s="1"/>
      <x:c r="B607" s="37"/>
      <x:c r="C607" s="38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1"/>
      <x:c r="Y607" s="1"/>
      <x:c r="Z607" s="1"/>
      <x:c r="AA607" s="1"/>
      <x:c r="AB607" s="1"/>
      <x:c r="AC607" s="1"/>
      <x:c r="AD607" s="1"/>
      <x:c r="AE607" s="1"/>
      <x:c r="AF607" s="1"/>
    </x:row>
    <x:row r="608" ht="15.75" customHeight="1">
      <x:c r="A608" s="1"/>
      <x:c r="B608" s="37"/>
      <x:c r="C608" s="38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1"/>
      <x:c r="Y608" s="1"/>
      <x:c r="Z608" s="1"/>
      <x:c r="AA608" s="1"/>
      <x:c r="AB608" s="1"/>
      <x:c r="AC608" s="1"/>
      <x:c r="AD608" s="1"/>
      <x:c r="AE608" s="1"/>
      <x:c r="AF608" s="1"/>
    </x:row>
    <x:row r="609" ht="15.75" customHeight="1">
      <x:c r="A609" s="1"/>
      <x:c r="B609" s="37"/>
      <x:c r="C609" s="38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1"/>
      <x:c r="Y609" s="1"/>
      <x:c r="Z609" s="1"/>
      <x:c r="AA609" s="1"/>
      <x:c r="AB609" s="1"/>
      <x:c r="AC609" s="1"/>
      <x:c r="AD609" s="1"/>
      <x:c r="AE609" s="1"/>
      <x:c r="AF609" s="1"/>
    </x:row>
    <x:row r="610" ht="15.75" customHeight="1">
      <x:c r="A610" s="1"/>
      <x:c r="B610" s="37"/>
      <x:c r="C610" s="38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1"/>
      <x:c r="Y610" s="1"/>
      <x:c r="Z610" s="1"/>
      <x:c r="AA610" s="1"/>
      <x:c r="AB610" s="1"/>
      <x:c r="AC610" s="1"/>
      <x:c r="AD610" s="1"/>
      <x:c r="AE610" s="1"/>
      <x:c r="AF610" s="1"/>
    </x:row>
    <x:row r="611" ht="15.75" customHeight="1">
      <x:c r="A611" s="1"/>
      <x:c r="B611" s="37"/>
      <x:c r="C611" s="38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1"/>
      <x:c r="Y611" s="1"/>
      <x:c r="Z611" s="1"/>
      <x:c r="AA611" s="1"/>
      <x:c r="AB611" s="1"/>
      <x:c r="AC611" s="1"/>
      <x:c r="AD611" s="1"/>
      <x:c r="AE611" s="1"/>
      <x:c r="AF611" s="1"/>
    </x:row>
    <x:row r="612" ht="15.75" customHeight="1">
      <x:c r="A612" s="1"/>
      <x:c r="B612" s="37"/>
      <x:c r="C612" s="38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1"/>
      <x:c r="Y612" s="1"/>
      <x:c r="Z612" s="1"/>
      <x:c r="AA612" s="1"/>
      <x:c r="AB612" s="1"/>
      <x:c r="AC612" s="1"/>
      <x:c r="AD612" s="1"/>
      <x:c r="AE612" s="1"/>
      <x:c r="AF612" s="1"/>
    </x:row>
    <x:row r="613" ht="15.75" customHeight="1">
      <x:c r="A613" s="1"/>
      <x:c r="B613" s="37"/>
      <x:c r="C613" s="38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1"/>
      <x:c r="Y613" s="1"/>
      <x:c r="Z613" s="1"/>
      <x:c r="AA613" s="1"/>
      <x:c r="AB613" s="1"/>
      <x:c r="AC613" s="1"/>
      <x:c r="AD613" s="1"/>
      <x:c r="AE613" s="1"/>
      <x:c r="AF613" s="1"/>
    </x:row>
    <x:row r="614" ht="15.75" customHeight="1">
      <x:c r="A614" s="1"/>
      <x:c r="B614" s="37"/>
      <x:c r="C614" s="38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1"/>
      <x:c r="Y614" s="1"/>
      <x:c r="Z614" s="1"/>
      <x:c r="AA614" s="1"/>
      <x:c r="AB614" s="1"/>
      <x:c r="AC614" s="1"/>
      <x:c r="AD614" s="1"/>
      <x:c r="AE614" s="1"/>
      <x:c r="AF614" s="1"/>
    </x:row>
    <x:row r="615" ht="15.75" customHeight="1">
      <x:c r="A615" s="1"/>
      <x:c r="B615" s="37"/>
      <x:c r="C615" s="38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1"/>
      <x:c r="Y615" s="1"/>
      <x:c r="Z615" s="1"/>
      <x:c r="AA615" s="1"/>
      <x:c r="AB615" s="1"/>
      <x:c r="AC615" s="1"/>
      <x:c r="AD615" s="1"/>
      <x:c r="AE615" s="1"/>
      <x:c r="AF615" s="1"/>
    </x:row>
    <x:row r="616" ht="15.75" customHeight="1">
      <x:c r="A616" s="1"/>
      <x:c r="B616" s="37"/>
      <x:c r="C616" s="38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1"/>
      <x:c r="Y616" s="1"/>
      <x:c r="Z616" s="1"/>
      <x:c r="AA616" s="1"/>
      <x:c r="AB616" s="1"/>
      <x:c r="AC616" s="1"/>
      <x:c r="AD616" s="1"/>
      <x:c r="AE616" s="1"/>
      <x:c r="AF616" s="1"/>
    </x:row>
    <x:row r="617" ht="15.75" customHeight="1">
      <x:c r="A617" s="1"/>
      <x:c r="B617" s="37"/>
      <x:c r="C617" s="38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1"/>
      <x:c r="Y617" s="1"/>
      <x:c r="Z617" s="1"/>
      <x:c r="AA617" s="1"/>
      <x:c r="AB617" s="1"/>
      <x:c r="AC617" s="1"/>
      <x:c r="AD617" s="1"/>
      <x:c r="AE617" s="1"/>
      <x:c r="AF617" s="1"/>
    </x:row>
    <x:row r="618" ht="15.75" customHeight="1">
      <x:c r="A618" s="1"/>
      <x:c r="B618" s="37"/>
      <x:c r="C618" s="38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1"/>
      <x:c r="Y618" s="1"/>
      <x:c r="Z618" s="1"/>
      <x:c r="AA618" s="1"/>
      <x:c r="AB618" s="1"/>
      <x:c r="AC618" s="1"/>
      <x:c r="AD618" s="1"/>
      <x:c r="AE618" s="1"/>
      <x:c r="AF618" s="1"/>
    </x:row>
    <x:row r="619" ht="15.75" customHeight="1">
      <x:c r="A619" s="1"/>
      <x:c r="B619" s="37"/>
      <x:c r="C619" s="38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1"/>
      <x:c r="Y619" s="1"/>
      <x:c r="Z619" s="1"/>
      <x:c r="AA619" s="1"/>
      <x:c r="AB619" s="1"/>
      <x:c r="AC619" s="1"/>
      <x:c r="AD619" s="1"/>
      <x:c r="AE619" s="1"/>
      <x:c r="AF619" s="1"/>
    </x:row>
    <x:row r="620" ht="15.75" customHeight="1">
      <x:c r="A620" s="1"/>
      <x:c r="B620" s="37"/>
      <x:c r="C620" s="38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1"/>
      <x:c r="Y620" s="1"/>
      <x:c r="Z620" s="1"/>
      <x:c r="AA620" s="1"/>
      <x:c r="AB620" s="1"/>
      <x:c r="AC620" s="1"/>
      <x:c r="AD620" s="1"/>
      <x:c r="AE620" s="1"/>
      <x:c r="AF620" s="1"/>
    </x:row>
    <x:row r="621" ht="15.75" customHeight="1">
      <x:c r="A621" s="1"/>
      <x:c r="B621" s="37"/>
      <x:c r="C621" s="38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1"/>
      <x:c r="Y621" s="1"/>
      <x:c r="Z621" s="1"/>
      <x:c r="AA621" s="1"/>
      <x:c r="AB621" s="1"/>
      <x:c r="AC621" s="1"/>
      <x:c r="AD621" s="1"/>
      <x:c r="AE621" s="1"/>
      <x:c r="AF621" s="1"/>
    </x:row>
    <x:row r="622" ht="15.75" customHeight="1">
      <x:c r="A622" s="1"/>
      <x:c r="B622" s="37"/>
      <x:c r="C622" s="38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1"/>
      <x:c r="Y622" s="1"/>
      <x:c r="Z622" s="1"/>
      <x:c r="AA622" s="1"/>
      <x:c r="AB622" s="1"/>
      <x:c r="AC622" s="1"/>
      <x:c r="AD622" s="1"/>
      <x:c r="AE622" s="1"/>
      <x:c r="AF622" s="1"/>
    </x:row>
    <x:row r="623" ht="15.75" customHeight="1">
      <x:c r="A623" s="1"/>
      <x:c r="B623" s="37"/>
      <x:c r="C623" s="38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1"/>
      <x:c r="Y623" s="1"/>
      <x:c r="Z623" s="1"/>
      <x:c r="AA623" s="1"/>
      <x:c r="AB623" s="1"/>
      <x:c r="AC623" s="1"/>
      <x:c r="AD623" s="1"/>
      <x:c r="AE623" s="1"/>
      <x:c r="AF623" s="1"/>
    </x:row>
    <x:row r="624" ht="15.75" customHeight="1">
      <x:c r="A624" s="1"/>
      <x:c r="B624" s="37"/>
      <x:c r="C624" s="38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1"/>
      <x:c r="Y624" s="1"/>
      <x:c r="Z624" s="1"/>
      <x:c r="AA624" s="1"/>
      <x:c r="AB624" s="1"/>
      <x:c r="AC624" s="1"/>
      <x:c r="AD624" s="1"/>
      <x:c r="AE624" s="1"/>
      <x:c r="AF624" s="1"/>
    </x:row>
    <x:row r="625" ht="15.75" customHeight="1">
      <x:c r="A625" s="1"/>
      <x:c r="B625" s="37"/>
      <x:c r="C625" s="38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1"/>
      <x:c r="Y625" s="1"/>
      <x:c r="Z625" s="1"/>
      <x:c r="AA625" s="1"/>
      <x:c r="AB625" s="1"/>
      <x:c r="AC625" s="1"/>
      <x:c r="AD625" s="1"/>
      <x:c r="AE625" s="1"/>
      <x:c r="AF625" s="1"/>
    </x:row>
    <x:row r="626" ht="15.75" customHeight="1">
      <x:c r="A626" s="1"/>
      <x:c r="B626" s="37"/>
      <x:c r="C626" s="38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1"/>
      <x:c r="Y626" s="1"/>
      <x:c r="Z626" s="1"/>
      <x:c r="AA626" s="1"/>
      <x:c r="AB626" s="1"/>
      <x:c r="AC626" s="1"/>
      <x:c r="AD626" s="1"/>
      <x:c r="AE626" s="1"/>
      <x:c r="AF626" s="1"/>
    </x:row>
    <x:row r="627" ht="15.75" customHeight="1">
      <x:c r="A627" s="1"/>
      <x:c r="B627" s="37"/>
      <x:c r="C627" s="38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1"/>
      <x:c r="Y627" s="1"/>
      <x:c r="Z627" s="1"/>
      <x:c r="AA627" s="1"/>
      <x:c r="AB627" s="1"/>
      <x:c r="AC627" s="1"/>
      <x:c r="AD627" s="1"/>
      <x:c r="AE627" s="1"/>
      <x:c r="AF627" s="1"/>
    </x:row>
    <x:row r="628" ht="15.75" customHeight="1">
      <x:c r="A628" s="1"/>
      <x:c r="B628" s="37"/>
      <x:c r="C628" s="38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1"/>
      <x:c r="Y628" s="1"/>
      <x:c r="Z628" s="1"/>
      <x:c r="AA628" s="1"/>
      <x:c r="AB628" s="1"/>
      <x:c r="AC628" s="1"/>
      <x:c r="AD628" s="1"/>
      <x:c r="AE628" s="1"/>
      <x:c r="AF628" s="1"/>
    </x:row>
    <x:row r="629" ht="15.75" customHeight="1">
      <x:c r="A629" s="1"/>
      <x:c r="B629" s="37"/>
      <x:c r="C629" s="38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1"/>
      <x:c r="Y629" s="1"/>
      <x:c r="Z629" s="1"/>
      <x:c r="AA629" s="1"/>
      <x:c r="AB629" s="1"/>
      <x:c r="AC629" s="1"/>
      <x:c r="AD629" s="1"/>
      <x:c r="AE629" s="1"/>
      <x:c r="AF629" s="1"/>
    </x:row>
    <x:row r="630" ht="15.75" customHeight="1">
      <x:c r="A630" s="1"/>
      <x:c r="B630" s="37"/>
      <x:c r="C630" s="38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1"/>
      <x:c r="Y630" s="1"/>
      <x:c r="Z630" s="1"/>
      <x:c r="AA630" s="1"/>
      <x:c r="AB630" s="1"/>
      <x:c r="AC630" s="1"/>
      <x:c r="AD630" s="1"/>
      <x:c r="AE630" s="1"/>
      <x:c r="AF630" s="1"/>
    </x:row>
    <x:row r="631" ht="15.75" customHeight="1">
      <x:c r="A631" s="1"/>
      <x:c r="B631" s="37"/>
      <x:c r="C631" s="38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1"/>
      <x:c r="Y631" s="1"/>
      <x:c r="Z631" s="1"/>
      <x:c r="AA631" s="1"/>
      <x:c r="AB631" s="1"/>
      <x:c r="AC631" s="1"/>
      <x:c r="AD631" s="1"/>
      <x:c r="AE631" s="1"/>
      <x:c r="AF631" s="1"/>
    </x:row>
    <x:row r="632" ht="15.75" customHeight="1">
      <x:c r="A632" s="1"/>
      <x:c r="B632" s="37"/>
      <x:c r="C632" s="38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1"/>
      <x:c r="Y632" s="1"/>
      <x:c r="Z632" s="1"/>
      <x:c r="AA632" s="1"/>
      <x:c r="AB632" s="1"/>
      <x:c r="AC632" s="1"/>
      <x:c r="AD632" s="1"/>
      <x:c r="AE632" s="1"/>
      <x:c r="AF632" s="1"/>
    </x:row>
    <x:row r="633" ht="15.75" customHeight="1">
      <x:c r="A633" s="1"/>
      <x:c r="B633" s="37"/>
      <x:c r="C633" s="38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1"/>
      <x:c r="Y633" s="1"/>
      <x:c r="Z633" s="1"/>
      <x:c r="AA633" s="1"/>
      <x:c r="AB633" s="1"/>
      <x:c r="AC633" s="1"/>
      <x:c r="AD633" s="1"/>
      <x:c r="AE633" s="1"/>
      <x:c r="AF633" s="1"/>
    </x:row>
    <x:row r="634" ht="15.75" customHeight="1">
      <x:c r="A634" s="1"/>
      <x:c r="B634" s="37"/>
      <x:c r="C634" s="38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1"/>
      <x:c r="Y634" s="1"/>
      <x:c r="Z634" s="1"/>
      <x:c r="AA634" s="1"/>
      <x:c r="AB634" s="1"/>
      <x:c r="AC634" s="1"/>
      <x:c r="AD634" s="1"/>
      <x:c r="AE634" s="1"/>
      <x:c r="AF634" s="1"/>
    </x:row>
    <x:row r="635" ht="15.75" customHeight="1">
      <x:c r="A635" s="1"/>
      <x:c r="B635" s="37"/>
      <x:c r="C635" s="38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1"/>
      <x:c r="Y635" s="1"/>
      <x:c r="Z635" s="1"/>
      <x:c r="AA635" s="1"/>
      <x:c r="AB635" s="1"/>
      <x:c r="AC635" s="1"/>
      <x:c r="AD635" s="1"/>
      <x:c r="AE635" s="1"/>
      <x:c r="AF635" s="1"/>
    </x:row>
    <x:row r="636" ht="15.75" customHeight="1">
      <x:c r="A636" s="1"/>
      <x:c r="B636" s="37"/>
      <x:c r="C636" s="38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1"/>
      <x:c r="Y636" s="1"/>
      <x:c r="Z636" s="1"/>
      <x:c r="AA636" s="1"/>
      <x:c r="AB636" s="1"/>
      <x:c r="AC636" s="1"/>
      <x:c r="AD636" s="1"/>
      <x:c r="AE636" s="1"/>
      <x:c r="AF636" s="1"/>
    </x:row>
    <x:row r="637" ht="15.75" customHeight="1">
      <x:c r="A637" s="1"/>
      <x:c r="B637" s="37"/>
      <x:c r="C637" s="38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1"/>
      <x:c r="Y637" s="1"/>
      <x:c r="Z637" s="1"/>
      <x:c r="AA637" s="1"/>
      <x:c r="AB637" s="1"/>
      <x:c r="AC637" s="1"/>
      <x:c r="AD637" s="1"/>
      <x:c r="AE637" s="1"/>
      <x:c r="AF637" s="1"/>
    </x:row>
    <x:row r="638" ht="15.75" customHeight="1">
      <x:c r="A638" s="1"/>
      <x:c r="B638" s="37"/>
      <x:c r="C638" s="38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1"/>
      <x:c r="Y638" s="1"/>
      <x:c r="Z638" s="1"/>
      <x:c r="AA638" s="1"/>
      <x:c r="AB638" s="1"/>
      <x:c r="AC638" s="1"/>
      <x:c r="AD638" s="1"/>
      <x:c r="AE638" s="1"/>
      <x:c r="AF638" s="1"/>
    </x:row>
    <x:row r="639" ht="15.75" customHeight="1">
      <x:c r="A639" s="1"/>
      <x:c r="B639" s="37"/>
      <x:c r="C639" s="38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1"/>
      <x:c r="Y639" s="1"/>
      <x:c r="Z639" s="1"/>
      <x:c r="AA639" s="1"/>
      <x:c r="AB639" s="1"/>
      <x:c r="AC639" s="1"/>
      <x:c r="AD639" s="1"/>
      <x:c r="AE639" s="1"/>
      <x:c r="AF639" s="1"/>
    </x:row>
    <x:row r="640" ht="15.75" customHeight="1">
      <x:c r="A640" s="1"/>
      <x:c r="B640" s="37"/>
      <x:c r="C640" s="38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1"/>
      <x:c r="Y640" s="1"/>
      <x:c r="Z640" s="1"/>
      <x:c r="AA640" s="1"/>
      <x:c r="AB640" s="1"/>
      <x:c r="AC640" s="1"/>
      <x:c r="AD640" s="1"/>
      <x:c r="AE640" s="1"/>
      <x:c r="AF640" s="1"/>
    </x:row>
    <x:row r="641" ht="15.75" customHeight="1">
      <x:c r="A641" s="1"/>
      <x:c r="B641" s="37"/>
      <x:c r="C641" s="38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1"/>
      <x:c r="Y641" s="1"/>
      <x:c r="Z641" s="1"/>
      <x:c r="AA641" s="1"/>
      <x:c r="AB641" s="1"/>
      <x:c r="AC641" s="1"/>
      <x:c r="AD641" s="1"/>
      <x:c r="AE641" s="1"/>
      <x:c r="AF641" s="1"/>
    </x:row>
    <x:row r="642" ht="15.75" customHeight="1">
      <x:c r="A642" s="1"/>
      <x:c r="B642" s="37"/>
      <x:c r="C642" s="38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1"/>
      <x:c r="Y642" s="1"/>
      <x:c r="Z642" s="1"/>
      <x:c r="AA642" s="1"/>
      <x:c r="AB642" s="1"/>
      <x:c r="AC642" s="1"/>
      <x:c r="AD642" s="1"/>
      <x:c r="AE642" s="1"/>
      <x:c r="AF642" s="1"/>
    </x:row>
    <x:row r="643" ht="15.75" customHeight="1">
      <x:c r="A643" s="1"/>
      <x:c r="B643" s="37"/>
      <x:c r="C643" s="38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1"/>
      <x:c r="Y643" s="1"/>
      <x:c r="Z643" s="1"/>
      <x:c r="AA643" s="1"/>
      <x:c r="AB643" s="1"/>
      <x:c r="AC643" s="1"/>
      <x:c r="AD643" s="1"/>
      <x:c r="AE643" s="1"/>
      <x:c r="AF643" s="1"/>
    </x:row>
    <x:row r="644" ht="15.75" customHeight="1">
      <x:c r="A644" s="1"/>
      <x:c r="B644" s="37"/>
      <x:c r="C644" s="38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1"/>
      <x:c r="Y644" s="1"/>
      <x:c r="Z644" s="1"/>
      <x:c r="AA644" s="1"/>
      <x:c r="AB644" s="1"/>
      <x:c r="AC644" s="1"/>
      <x:c r="AD644" s="1"/>
      <x:c r="AE644" s="1"/>
      <x:c r="AF644" s="1"/>
    </x:row>
    <x:row r="645" ht="15.75" customHeight="1">
      <x:c r="A645" s="1"/>
      <x:c r="B645" s="37"/>
      <x:c r="C645" s="38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1"/>
      <x:c r="Y645" s="1"/>
      <x:c r="Z645" s="1"/>
      <x:c r="AA645" s="1"/>
      <x:c r="AB645" s="1"/>
      <x:c r="AC645" s="1"/>
      <x:c r="AD645" s="1"/>
      <x:c r="AE645" s="1"/>
      <x:c r="AF645" s="1"/>
    </x:row>
    <x:row r="646" ht="15.75" customHeight="1">
      <x:c r="A646" s="1"/>
      <x:c r="B646" s="37"/>
      <x:c r="C646" s="38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1"/>
      <x:c r="Y646" s="1"/>
      <x:c r="Z646" s="1"/>
      <x:c r="AA646" s="1"/>
      <x:c r="AB646" s="1"/>
      <x:c r="AC646" s="1"/>
      <x:c r="AD646" s="1"/>
      <x:c r="AE646" s="1"/>
      <x:c r="AF646" s="1"/>
    </x:row>
    <x:row r="647" ht="15.75" customHeight="1">
      <x:c r="A647" s="1"/>
      <x:c r="B647" s="37"/>
      <x:c r="C647" s="38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1"/>
      <x:c r="Y647" s="1"/>
      <x:c r="Z647" s="1"/>
      <x:c r="AA647" s="1"/>
      <x:c r="AB647" s="1"/>
      <x:c r="AC647" s="1"/>
      <x:c r="AD647" s="1"/>
      <x:c r="AE647" s="1"/>
      <x:c r="AF647" s="1"/>
    </x:row>
    <x:row r="648" ht="15.75" customHeight="1">
      <x:c r="A648" s="1"/>
      <x:c r="B648" s="37"/>
      <x:c r="C648" s="38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1"/>
      <x:c r="Y648" s="1"/>
      <x:c r="Z648" s="1"/>
      <x:c r="AA648" s="1"/>
      <x:c r="AB648" s="1"/>
      <x:c r="AC648" s="1"/>
      <x:c r="AD648" s="1"/>
      <x:c r="AE648" s="1"/>
      <x:c r="AF648" s="1"/>
    </x:row>
    <x:row r="649" ht="15.75" customHeight="1">
      <x:c r="A649" s="1"/>
      <x:c r="B649" s="37"/>
      <x:c r="C649" s="38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1"/>
      <x:c r="Y649" s="1"/>
      <x:c r="Z649" s="1"/>
      <x:c r="AA649" s="1"/>
      <x:c r="AB649" s="1"/>
      <x:c r="AC649" s="1"/>
      <x:c r="AD649" s="1"/>
      <x:c r="AE649" s="1"/>
      <x:c r="AF649" s="1"/>
    </x:row>
    <x:row r="650" ht="15.75" customHeight="1">
      <x:c r="A650" s="1"/>
      <x:c r="B650" s="37"/>
      <x:c r="C650" s="38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1"/>
      <x:c r="Y650" s="1"/>
      <x:c r="Z650" s="1"/>
      <x:c r="AA650" s="1"/>
      <x:c r="AB650" s="1"/>
      <x:c r="AC650" s="1"/>
      <x:c r="AD650" s="1"/>
      <x:c r="AE650" s="1"/>
      <x:c r="AF650" s="1"/>
    </x:row>
    <x:row r="651" ht="15.75" customHeight="1">
      <x:c r="A651" s="1"/>
      <x:c r="B651" s="37"/>
      <x:c r="C651" s="38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1"/>
      <x:c r="Y651" s="1"/>
      <x:c r="Z651" s="1"/>
      <x:c r="AA651" s="1"/>
      <x:c r="AB651" s="1"/>
      <x:c r="AC651" s="1"/>
      <x:c r="AD651" s="1"/>
      <x:c r="AE651" s="1"/>
      <x:c r="AF651" s="1"/>
    </x:row>
    <x:row r="652" ht="15.75" customHeight="1">
      <x:c r="A652" s="1"/>
      <x:c r="B652" s="37"/>
      <x:c r="C652" s="38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1"/>
      <x:c r="Y652" s="1"/>
      <x:c r="Z652" s="1"/>
      <x:c r="AA652" s="1"/>
      <x:c r="AB652" s="1"/>
      <x:c r="AC652" s="1"/>
      <x:c r="AD652" s="1"/>
      <x:c r="AE652" s="1"/>
      <x:c r="AF652" s="1"/>
    </x:row>
    <x:row r="653" ht="15.75" customHeight="1">
      <x:c r="A653" s="1"/>
      <x:c r="B653" s="37"/>
      <x:c r="C653" s="38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1"/>
      <x:c r="Y653" s="1"/>
      <x:c r="Z653" s="1"/>
      <x:c r="AA653" s="1"/>
      <x:c r="AB653" s="1"/>
      <x:c r="AC653" s="1"/>
      <x:c r="AD653" s="1"/>
      <x:c r="AE653" s="1"/>
      <x:c r="AF653" s="1"/>
    </x:row>
    <x:row r="654" ht="15.75" customHeight="1">
      <x:c r="A654" s="1"/>
      <x:c r="B654" s="37"/>
      <x:c r="C654" s="38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1"/>
      <x:c r="Y654" s="1"/>
      <x:c r="Z654" s="1"/>
      <x:c r="AA654" s="1"/>
      <x:c r="AB654" s="1"/>
      <x:c r="AC654" s="1"/>
      <x:c r="AD654" s="1"/>
      <x:c r="AE654" s="1"/>
      <x:c r="AF654" s="1"/>
    </x:row>
    <x:row r="655" ht="15.75" customHeight="1">
      <x:c r="A655" s="1"/>
      <x:c r="B655" s="37"/>
      <x:c r="C655" s="38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1"/>
      <x:c r="Y655" s="1"/>
      <x:c r="Z655" s="1"/>
      <x:c r="AA655" s="1"/>
      <x:c r="AB655" s="1"/>
      <x:c r="AC655" s="1"/>
      <x:c r="AD655" s="1"/>
      <x:c r="AE655" s="1"/>
      <x:c r="AF655" s="1"/>
    </x:row>
    <x:row r="656" ht="15.75" customHeight="1">
      <x:c r="A656" s="1"/>
      <x:c r="B656" s="37"/>
      <x:c r="C656" s="38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1"/>
      <x:c r="Y656" s="1"/>
      <x:c r="Z656" s="1"/>
      <x:c r="AA656" s="1"/>
      <x:c r="AB656" s="1"/>
      <x:c r="AC656" s="1"/>
      <x:c r="AD656" s="1"/>
      <x:c r="AE656" s="1"/>
      <x:c r="AF656" s="1"/>
    </x:row>
    <x:row r="657" ht="15.75" customHeight="1">
      <x:c r="A657" s="1"/>
      <x:c r="B657" s="37"/>
      <x:c r="C657" s="38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1"/>
      <x:c r="Y657" s="1"/>
      <x:c r="Z657" s="1"/>
      <x:c r="AA657" s="1"/>
      <x:c r="AB657" s="1"/>
      <x:c r="AC657" s="1"/>
      <x:c r="AD657" s="1"/>
      <x:c r="AE657" s="1"/>
      <x:c r="AF657" s="1"/>
    </x:row>
    <x:row r="658" ht="15.75" customHeight="1">
      <x:c r="A658" s="1"/>
      <x:c r="B658" s="37"/>
      <x:c r="C658" s="38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1"/>
      <x:c r="Y658" s="1"/>
      <x:c r="Z658" s="1"/>
      <x:c r="AA658" s="1"/>
      <x:c r="AB658" s="1"/>
      <x:c r="AC658" s="1"/>
      <x:c r="AD658" s="1"/>
      <x:c r="AE658" s="1"/>
      <x:c r="AF658" s="1"/>
    </x:row>
    <x:row r="659" ht="15.75" customHeight="1">
      <x:c r="A659" s="1"/>
      <x:c r="B659" s="37"/>
      <x:c r="C659" s="38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1"/>
      <x:c r="Y659" s="1"/>
      <x:c r="Z659" s="1"/>
      <x:c r="AA659" s="1"/>
      <x:c r="AB659" s="1"/>
      <x:c r="AC659" s="1"/>
      <x:c r="AD659" s="1"/>
      <x:c r="AE659" s="1"/>
      <x:c r="AF659" s="1"/>
    </x:row>
    <x:row r="660" ht="15.75" customHeight="1">
      <x:c r="A660" s="1"/>
      <x:c r="B660" s="37"/>
      <x:c r="C660" s="38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1"/>
      <x:c r="Y660" s="1"/>
      <x:c r="Z660" s="1"/>
      <x:c r="AA660" s="1"/>
      <x:c r="AB660" s="1"/>
      <x:c r="AC660" s="1"/>
      <x:c r="AD660" s="1"/>
      <x:c r="AE660" s="1"/>
      <x:c r="AF660" s="1"/>
    </x:row>
    <x:row r="661" ht="15.75" customHeight="1">
      <x:c r="A661" s="1"/>
      <x:c r="B661" s="37"/>
      <x:c r="C661" s="38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1"/>
      <x:c r="Y661" s="1"/>
      <x:c r="Z661" s="1"/>
      <x:c r="AA661" s="1"/>
      <x:c r="AB661" s="1"/>
      <x:c r="AC661" s="1"/>
      <x:c r="AD661" s="1"/>
      <x:c r="AE661" s="1"/>
      <x:c r="AF661" s="1"/>
    </x:row>
    <x:row r="662" ht="15.75" customHeight="1">
      <x:c r="A662" s="1"/>
      <x:c r="B662" s="37"/>
      <x:c r="C662" s="38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1"/>
      <x:c r="Y662" s="1"/>
      <x:c r="Z662" s="1"/>
      <x:c r="AA662" s="1"/>
      <x:c r="AB662" s="1"/>
      <x:c r="AC662" s="1"/>
      <x:c r="AD662" s="1"/>
      <x:c r="AE662" s="1"/>
      <x:c r="AF662" s="1"/>
    </x:row>
    <x:row r="663" ht="15.75" customHeight="1">
      <x:c r="A663" s="1"/>
      <x:c r="B663" s="37"/>
      <x:c r="C663" s="38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1"/>
      <x:c r="Y663" s="1"/>
      <x:c r="Z663" s="1"/>
      <x:c r="AA663" s="1"/>
      <x:c r="AB663" s="1"/>
      <x:c r="AC663" s="1"/>
      <x:c r="AD663" s="1"/>
      <x:c r="AE663" s="1"/>
      <x:c r="AF663" s="1"/>
    </x:row>
    <x:row r="664" ht="15.75" customHeight="1">
      <x:c r="A664" s="1"/>
      <x:c r="B664" s="37"/>
      <x:c r="C664" s="38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1"/>
      <x:c r="Y664" s="1"/>
      <x:c r="Z664" s="1"/>
      <x:c r="AA664" s="1"/>
      <x:c r="AB664" s="1"/>
      <x:c r="AC664" s="1"/>
      <x:c r="AD664" s="1"/>
      <x:c r="AE664" s="1"/>
      <x:c r="AF664" s="1"/>
    </x:row>
    <x:row r="665" ht="15.75" customHeight="1">
      <x:c r="A665" s="1"/>
      <x:c r="B665" s="37"/>
      <x:c r="C665" s="38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1"/>
      <x:c r="Y665" s="1"/>
      <x:c r="Z665" s="1"/>
      <x:c r="AA665" s="1"/>
      <x:c r="AB665" s="1"/>
      <x:c r="AC665" s="1"/>
      <x:c r="AD665" s="1"/>
      <x:c r="AE665" s="1"/>
      <x:c r="AF665" s="1"/>
    </x:row>
    <x:row r="666" ht="15.75" customHeight="1">
      <x:c r="A666" s="1"/>
      <x:c r="B666" s="37"/>
      <x:c r="C666" s="38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1"/>
      <x:c r="Y666" s="1"/>
      <x:c r="Z666" s="1"/>
      <x:c r="AA666" s="1"/>
      <x:c r="AB666" s="1"/>
      <x:c r="AC666" s="1"/>
      <x:c r="AD666" s="1"/>
      <x:c r="AE666" s="1"/>
      <x:c r="AF666" s="1"/>
    </x:row>
    <x:row r="667" ht="15.75" customHeight="1">
      <x:c r="A667" s="1"/>
      <x:c r="B667" s="37"/>
      <x:c r="C667" s="38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1"/>
      <x:c r="Y667" s="1"/>
      <x:c r="Z667" s="1"/>
      <x:c r="AA667" s="1"/>
      <x:c r="AB667" s="1"/>
      <x:c r="AC667" s="1"/>
      <x:c r="AD667" s="1"/>
      <x:c r="AE667" s="1"/>
      <x:c r="AF667" s="1"/>
    </x:row>
    <x:row r="668" ht="15.75" customHeight="1">
      <x:c r="A668" s="1"/>
      <x:c r="B668" s="37"/>
      <x:c r="C668" s="38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1"/>
      <x:c r="Y668" s="1"/>
      <x:c r="Z668" s="1"/>
      <x:c r="AA668" s="1"/>
      <x:c r="AB668" s="1"/>
      <x:c r="AC668" s="1"/>
      <x:c r="AD668" s="1"/>
      <x:c r="AE668" s="1"/>
      <x:c r="AF668" s="1"/>
    </x:row>
    <x:row r="669" ht="15.75" customHeight="1">
      <x:c r="A669" s="1"/>
      <x:c r="B669" s="37"/>
      <x:c r="C669" s="38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1"/>
      <x:c r="Y669" s="1"/>
      <x:c r="Z669" s="1"/>
      <x:c r="AA669" s="1"/>
      <x:c r="AB669" s="1"/>
      <x:c r="AC669" s="1"/>
      <x:c r="AD669" s="1"/>
      <x:c r="AE669" s="1"/>
      <x:c r="AF669" s="1"/>
    </x:row>
    <x:row r="670" ht="15.75" customHeight="1">
      <x:c r="A670" s="1"/>
      <x:c r="B670" s="37"/>
      <x:c r="C670" s="38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1"/>
      <x:c r="Y670" s="1"/>
      <x:c r="Z670" s="1"/>
      <x:c r="AA670" s="1"/>
      <x:c r="AB670" s="1"/>
      <x:c r="AC670" s="1"/>
      <x:c r="AD670" s="1"/>
      <x:c r="AE670" s="1"/>
      <x:c r="AF670" s="1"/>
    </x:row>
    <x:row r="671" ht="15.75" customHeight="1">
      <x:c r="A671" s="1"/>
      <x:c r="B671" s="37"/>
      <x:c r="C671" s="38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1"/>
      <x:c r="Y671" s="1"/>
      <x:c r="Z671" s="1"/>
      <x:c r="AA671" s="1"/>
      <x:c r="AB671" s="1"/>
      <x:c r="AC671" s="1"/>
      <x:c r="AD671" s="1"/>
      <x:c r="AE671" s="1"/>
      <x:c r="AF671" s="1"/>
    </x:row>
    <x:row r="672" ht="15.75" customHeight="1">
      <x:c r="A672" s="1"/>
      <x:c r="B672" s="37"/>
      <x:c r="C672" s="38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1"/>
      <x:c r="Y672" s="1"/>
      <x:c r="Z672" s="1"/>
      <x:c r="AA672" s="1"/>
      <x:c r="AB672" s="1"/>
      <x:c r="AC672" s="1"/>
      <x:c r="AD672" s="1"/>
      <x:c r="AE672" s="1"/>
      <x:c r="AF672" s="1"/>
    </x:row>
    <x:row r="673" ht="15.75" customHeight="1">
      <x:c r="A673" s="1"/>
      <x:c r="B673" s="37"/>
      <x:c r="C673" s="38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1"/>
      <x:c r="Y673" s="1"/>
      <x:c r="Z673" s="1"/>
      <x:c r="AA673" s="1"/>
      <x:c r="AB673" s="1"/>
      <x:c r="AC673" s="1"/>
      <x:c r="AD673" s="1"/>
      <x:c r="AE673" s="1"/>
      <x:c r="AF673" s="1"/>
    </x:row>
    <x:row r="674" ht="15.75" customHeight="1">
      <x:c r="A674" s="1"/>
      <x:c r="B674" s="37"/>
      <x:c r="C674" s="38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1"/>
      <x:c r="Y674" s="1"/>
      <x:c r="Z674" s="1"/>
      <x:c r="AA674" s="1"/>
      <x:c r="AB674" s="1"/>
      <x:c r="AC674" s="1"/>
      <x:c r="AD674" s="1"/>
      <x:c r="AE674" s="1"/>
      <x:c r="AF674" s="1"/>
    </x:row>
    <x:row r="675" ht="15.75" customHeight="1">
      <x:c r="A675" s="1"/>
      <x:c r="B675" s="37"/>
      <x:c r="C675" s="38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1"/>
      <x:c r="Y675" s="1"/>
      <x:c r="Z675" s="1"/>
      <x:c r="AA675" s="1"/>
      <x:c r="AB675" s="1"/>
      <x:c r="AC675" s="1"/>
      <x:c r="AD675" s="1"/>
      <x:c r="AE675" s="1"/>
      <x:c r="AF675" s="1"/>
    </x:row>
    <x:row r="676" ht="15.75" customHeight="1">
      <x:c r="A676" s="1"/>
      <x:c r="B676" s="37"/>
      <x:c r="C676" s="38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1"/>
      <x:c r="Y676" s="1"/>
      <x:c r="Z676" s="1"/>
      <x:c r="AA676" s="1"/>
      <x:c r="AB676" s="1"/>
      <x:c r="AC676" s="1"/>
      <x:c r="AD676" s="1"/>
      <x:c r="AE676" s="1"/>
      <x:c r="AF676" s="1"/>
    </x:row>
    <x:row r="677" ht="15.75" customHeight="1">
      <x:c r="A677" s="1"/>
      <x:c r="B677" s="37"/>
      <x:c r="C677" s="38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1"/>
      <x:c r="Y677" s="1"/>
      <x:c r="Z677" s="1"/>
      <x:c r="AA677" s="1"/>
      <x:c r="AB677" s="1"/>
      <x:c r="AC677" s="1"/>
      <x:c r="AD677" s="1"/>
      <x:c r="AE677" s="1"/>
      <x:c r="AF677" s="1"/>
    </x:row>
    <x:row r="678" ht="15.75" customHeight="1">
      <x:c r="A678" s="1"/>
      <x:c r="B678" s="37"/>
      <x:c r="C678" s="38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1"/>
      <x:c r="Y678" s="1"/>
      <x:c r="Z678" s="1"/>
      <x:c r="AA678" s="1"/>
      <x:c r="AB678" s="1"/>
      <x:c r="AC678" s="1"/>
      <x:c r="AD678" s="1"/>
      <x:c r="AE678" s="1"/>
      <x:c r="AF678" s="1"/>
    </x:row>
    <x:row r="679" ht="15.75" customHeight="1">
      <x:c r="A679" s="1"/>
      <x:c r="B679" s="37"/>
      <x:c r="C679" s="38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1"/>
      <x:c r="Y679" s="1"/>
      <x:c r="Z679" s="1"/>
      <x:c r="AA679" s="1"/>
      <x:c r="AB679" s="1"/>
      <x:c r="AC679" s="1"/>
      <x:c r="AD679" s="1"/>
      <x:c r="AE679" s="1"/>
      <x:c r="AF679" s="1"/>
    </x:row>
    <x:row r="680" ht="15.75" customHeight="1">
      <x:c r="A680" s="1"/>
      <x:c r="B680" s="37"/>
      <x:c r="C680" s="38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1"/>
      <x:c r="Y680" s="1"/>
      <x:c r="Z680" s="1"/>
      <x:c r="AA680" s="1"/>
      <x:c r="AB680" s="1"/>
      <x:c r="AC680" s="1"/>
      <x:c r="AD680" s="1"/>
      <x:c r="AE680" s="1"/>
      <x:c r="AF680" s="1"/>
    </x:row>
    <x:row r="681" ht="15.75" customHeight="1">
      <x:c r="A681" s="1"/>
      <x:c r="B681" s="37"/>
      <x:c r="C681" s="38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1"/>
      <x:c r="Y681" s="1"/>
      <x:c r="Z681" s="1"/>
      <x:c r="AA681" s="1"/>
      <x:c r="AB681" s="1"/>
      <x:c r="AC681" s="1"/>
      <x:c r="AD681" s="1"/>
      <x:c r="AE681" s="1"/>
      <x:c r="AF681" s="1"/>
    </x:row>
    <x:row r="682" ht="15.75" customHeight="1">
      <x:c r="A682" s="1"/>
      <x:c r="B682" s="37"/>
      <x:c r="C682" s="38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1"/>
      <x:c r="Y682" s="1"/>
      <x:c r="Z682" s="1"/>
      <x:c r="AA682" s="1"/>
      <x:c r="AB682" s="1"/>
      <x:c r="AC682" s="1"/>
      <x:c r="AD682" s="1"/>
      <x:c r="AE682" s="1"/>
      <x:c r="AF682" s="1"/>
    </x:row>
    <x:row r="683" ht="15.75" customHeight="1">
      <x:c r="A683" s="1"/>
      <x:c r="B683" s="37"/>
      <x:c r="C683" s="38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1"/>
      <x:c r="Y683" s="1"/>
      <x:c r="Z683" s="1"/>
      <x:c r="AA683" s="1"/>
      <x:c r="AB683" s="1"/>
      <x:c r="AC683" s="1"/>
      <x:c r="AD683" s="1"/>
      <x:c r="AE683" s="1"/>
      <x:c r="AF683" s="1"/>
    </x:row>
    <x:row r="684" ht="15.75" customHeight="1">
      <x:c r="A684" s="1"/>
      <x:c r="B684" s="37"/>
      <x:c r="C684" s="38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1"/>
      <x:c r="Y684" s="1"/>
      <x:c r="Z684" s="1"/>
      <x:c r="AA684" s="1"/>
      <x:c r="AB684" s="1"/>
      <x:c r="AC684" s="1"/>
      <x:c r="AD684" s="1"/>
      <x:c r="AE684" s="1"/>
      <x:c r="AF684" s="1"/>
    </x:row>
    <x:row r="685" ht="15.75" customHeight="1">
      <x:c r="A685" s="1"/>
      <x:c r="B685" s="37"/>
      <x:c r="C685" s="38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1"/>
      <x:c r="Y685" s="1"/>
      <x:c r="Z685" s="1"/>
      <x:c r="AA685" s="1"/>
      <x:c r="AB685" s="1"/>
      <x:c r="AC685" s="1"/>
      <x:c r="AD685" s="1"/>
      <x:c r="AE685" s="1"/>
      <x:c r="AF685" s="1"/>
    </x:row>
    <x:row r="686" ht="15.75" customHeight="1">
      <x:c r="A686" s="1"/>
      <x:c r="B686" s="37"/>
      <x:c r="C686" s="38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1"/>
      <x:c r="Y686" s="1"/>
      <x:c r="Z686" s="1"/>
      <x:c r="AA686" s="1"/>
      <x:c r="AB686" s="1"/>
      <x:c r="AC686" s="1"/>
      <x:c r="AD686" s="1"/>
      <x:c r="AE686" s="1"/>
      <x:c r="AF686" s="1"/>
    </x:row>
    <x:row r="687" ht="15.75" customHeight="1">
      <x:c r="A687" s="1"/>
      <x:c r="B687" s="37"/>
      <x:c r="C687" s="38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1"/>
      <x:c r="Y687" s="1"/>
      <x:c r="Z687" s="1"/>
      <x:c r="AA687" s="1"/>
      <x:c r="AB687" s="1"/>
      <x:c r="AC687" s="1"/>
      <x:c r="AD687" s="1"/>
      <x:c r="AE687" s="1"/>
      <x:c r="AF687" s="1"/>
    </x:row>
    <x:row r="688" ht="15.75" customHeight="1">
      <x:c r="A688" s="1"/>
      <x:c r="B688" s="37"/>
      <x:c r="C688" s="38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1"/>
      <x:c r="Y688" s="1"/>
      <x:c r="Z688" s="1"/>
      <x:c r="AA688" s="1"/>
      <x:c r="AB688" s="1"/>
      <x:c r="AC688" s="1"/>
      <x:c r="AD688" s="1"/>
      <x:c r="AE688" s="1"/>
      <x:c r="AF688" s="1"/>
    </x:row>
    <x:row r="689" ht="15.75" customHeight="1">
      <x:c r="A689" s="1"/>
      <x:c r="B689" s="37"/>
      <x:c r="C689" s="38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1"/>
      <x:c r="Y689" s="1"/>
      <x:c r="Z689" s="1"/>
      <x:c r="AA689" s="1"/>
      <x:c r="AB689" s="1"/>
      <x:c r="AC689" s="1"/>
      <x:c r="AD689" s="1"/>
      <x:c r="AE689" s="1"/>
      <x:c r="AF689" s="1"/>
    </x:row>
    <x:row r="690" ht="15.75" customHeight="1">
      <x:c r="A690" s="1"/>
      <x:c r="B690" s="37"/>
      <x:c r="C690" s="38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1"/>
      <x:c r="Y690" s="1"/>
      <x:c r="Z690" s="1"/>
      <x:c r="AA690" s="1"/>
      <x:c r="AB690" s="1"/>
      <x:c r="AC690" s="1"/>
      <x:c r="AD690" s="1"/>
      <x:c r="AE690" s="1"/>
      <x:c r="AF690" s="1"/>
    </x:row>
    <x:row r="691" ht="15.75" customHeight="1">
      <x:c r="A691" s="1"/>
      <x:c r="B691" s="37"/>
      <x:c r="C691" s="38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1"/>
      <x:c r="Y691" s="1"/>
      <x:c r="Z691" s="1"/>
      <x:c r="AA691" s="1"/>
      <x:c r="AB691" s="1"/>
      <x:c r="AC691" s="1"/>
      <x:c r="AD691" s="1"/>
      <x:c r="AE691" s="1"/>
      <x:c r="AF691" s="1"/>
    </x:row>
    <x:row r="692" ht="15.75" customHeight="1">
      <x:c r="A692" s="1"/>
      <x:c r="B692" s="37"/>
      <x:c r="C692" s="38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1"/>
      <x:c r="Y692" s="1"/>
      <x:c r="Z692" s="1"/>
      <x:c r="AA692" s="1"/>
      <x:c r="AB692" s="1"/>
      <x:c r="AC692" s="1"/>
      <x:c r="AD692" s="1"/>
      <x:c r="AE692" s="1"/>
      <x:c r="AF692" s="1"/>
    </x:row>
    <x:row r="693" ht="15.75" customHeight="1">
      <x:c r="A693" s="1"/>
      <x:c r="B693" s="37"/>
      <x:c r="C693" s="38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1"/>
      <x:c r="Y693" s="1"/>
      <x:c r="Z693" s="1"/>
      <x:c r="AA693" s="1"/>
      <x:c r="AB693" s="1"/>
      <x:c r="AC693" s="1"/>
      <x:c r="AD693" s="1"/>
      <x:c r="AE693" s="1"/>
      <x:c r="AF693" s="1"/>
    </x:row>
    <x:row r="694" ht="15.75" customHeight="1">
      <x:c r="A694" s="1"/>
      <x:c r="B694" s="37"/>
      <x:c r="C694" s="38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1"/>
      <x:c r="Y694" s="1"/>
      <x:c r="Z694" s="1"/>
      <x:c r="AA694" s="1"/>
      <x:c r="AB694" s="1"/>
      <x:c r="AC694" s="1"/>
      <x:c r="AD694" s="1"/>
      <x:c r="AE694" s="1"/>
      <x:c r="AF694" s="1"/>
    </x:row>
    <x:row r="695" ht="15.75" customHeight="1">
      <x:c r="A695" s="1"/>
      <x:c r="B695" s="37"/>
      <x:c r="C695" s="38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1"/>
      <x:c r="Y695" s="1"/>
      <x:c r="Z695" s="1"/>
      <x:c r="AA695" s="1"/>
      <x:c r="AB695" s="1"/>
      <x:c r="AC695" s="1"/>
      <x:c r="AD695" s="1"/>
      <x:c r="AE695" s="1"/>
      <x:c r="AF695" s="1"/>
    </x:row>
    <x:row r="696" ht="15.75" customHeight="1">
      <x:c r="A696" s="1"/>
      <x:c r="B696" s="37"/>
      <x:c r="C696" s="38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1"/>
      <x:c r="Y696" s="1"/>
      <x:c r="Z696" s="1"/>
      <x:c r="AA696" s="1"/>
      <x:c r="AB696" s="1"/>
      <x:c r="AC696" s="1"/>
      <x:c r="AD696" s="1"/>
      <x:c r="AE696" s="1"/>
      <x:c r="AF696" s="1"/>
    </x:row>
    <x:row r="697" ht="15.75" customHeight="1">
      <x:c r="A697" s="1"/>
      <x:c r="B697" s="37"/>
      <x:c r="C697" s="38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1"/>
      <x:c r="Y697" s="1"/>
      <x:c r="Z697" s="1"/>
      <x:c r="AA697" s="1"/>
      <x:c r="AB697" s="1"/>
      <x:c r="AC697" s="1"/>
      <x:c r="AD697" s="1"/>
      <x:c r="AE697" s="1"/>
      <x:c r="AF697" s="1"/>
    </x:row>
    <x:row r="698" ht="15.75" customHeight="1">
      <x:c r="A698" s="1"/>
      <x:c r="B698" s="37"/>
      <x:c r="C698" s="38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1"/>
      <x:c r="Y698" s="1"/>
      <x:c r="Z698" s="1"/>
      <x:c r="AA698" s="1"/>
      <x:c r="AB698" s="1"/>
      <x:c r="AC698" s="1"/>
      <x:c r="AD698" s="1"/>
      <x:c r="AE698" s="1"/>
      <x:c r="AF698" s="1"/>
    </x:row>
    <x:row r="699" ht="15.75" customHeight="1">
      <x:c r="A699" s="1"/>
      <x:c r="B699" s="37"/>
      <x:c r="C699" s="38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1"/>
      <x:c r="Y699" s="1"/>
      <x:c r="Z699" s="1"/>
      <x:c r="AA699" s="1"/>
      <x:c r="AB699" s="1"/>
      <x:c r="AC699" s="1"/>
      <x:c r="AD699" s="1"/>
      <x:c r="AE699" s="1"/>
      <x:c r="AF699" s="1"/>
    </x:row>
    <x:row r="700" ht="15.75" customHeight="1">
      <x:c r="A700" s="1"/>
      <x:c r="B700" s="37"/>
      <x:c r="C700" s="38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1"/>
      <x:c r="Y700" s="1"/>
      <x:c r="Z700" s="1"/>
      <x:c r="AA700" s="1"/>
      <x:c r="AB700" s="1"/>
      <x:c r="AC700" s="1"/>
      <x:c r="AD700" s="1"/>
      <x:c r="AE700" s="1"/>
      <x:c r="AF700" s="1"/>
    </x:row>
    <x:row r="701" ht="15.75" customHeight="1">
      <x:c r="A701" s="1"/>
      <x:c r="B701" s="37"/>
      <x:c r="C701" s="38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1"/>
      <x:c r="Y701" s="1"/>
      <x:c r="Z701" s="1"/>
      <x:c r="AA701" s="1"/>
      <x:c r="AB701" s="1"/>
      <x:c r="AC701" s="1"/>
      <x:c r="AD701" s="1"/>
      <x:c r="AE701" s="1"/>
      <x:c r="AF701" s="1"/>
    </x:row>
    <x:row r="702" ht="15.75" customHeight="1">
      <x:c r="A702" s="1"/>
      <x:c r="B702" s="37"/>
      <x:c r="C702" s="38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1"/>
      <x:c r="Y702" s="1"/>
      <x:c r="Z702" s="1"/>
      <x:c r="AA702" s="1"/>
      <x:c r="AB702" s="1"/>
      <x:c r="AC702" s="1"/>
      <x:c r="AD702" s="1"/>
      <x:c r="AE702" s="1"/>
      <x:c r="AF702" s="1"/>
    </x:row>
    <x:row r="703" ht="15.75" customHeight="1">
      <x:c r="A703" s="1"/>
      <x:c r="B703" s="37"/>
      <x:c r="C703" s="38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1"/>
      <x:c r="Y703" s="1"/>
      <x:c r="Z703" s="1"/>
      <x:c r="AA703" s="1"/>
      <x:c r="AB703" s="1"/>
      <x:c r="AC703" s="1"/>
      <x:c r="AD703" s="1"/>
      <x:c r="AE703" s="1"/>
      <x:c r="AF703" s="1"/>
    </x:row>
    <x:row r="704" ht="15.75" customHeight="1">
      <x:c r="A704" s="1"/>
      <x:c r="B704" s="37"/>
      <x:c r="C704" s="38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1"/>
      <x:c r="Y704" s="1"/>
      <x:c r="Z704" s="1"/>
      <x:c r="AA704" s="1"/>
      <x:c r="AB704" s="1"/>
      <x:c r="AC704" s="1"/>
      <x:c r="AD704" s="1"/>
      <x:c r="AE704" s="1"/>
      <x:c r="AF704" s="1"/>
    </x:row>
    <x:row r="705" ht="15.75" customHeight="1">
      <x:c r="A705" s="1"/>
      <x:c r="B705" s="37"/>
      <x:c r="C705" s="38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1"/>
      <x:c r="Y705" s="1"/>
      <x:c r="Z705" s="1"/>
      <x:c r="AA705" s="1"/>
      <x:c r="AB705" s="1"/>
      <x:c r="AC705" s="1"/>
      <x:c r="AD705" s="1"/>
      <x:c r="AE705" s="1"/>
      <x:c r="AF705" s="1"/>
    </x:row>
    <x:row r="706" ht="15.75" customHeight="1">
      <x:c r="A706" s="1"/>
      <x:c r="B706" s="37"/>
      <x:c r="C706" s="38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1"/>
      <x:c r="Y706" s="1"/>
      <x:c r="Z706" s="1"/>
      <x:c r="AA706" s="1"/>
      <x:c r="AB706" s="1"/>
      <x:c r="AC706" s="1"/>
      <x:c r="AD706" s="1"/>
      <x:c r="AE706" s="1"/>
      <x:c r="AF706" s="1"/>
    </x:row>
    <x:row r="707" ht="15.75" customHeight="1">
      <x:c r="A707" s="1"/>
      <x:c r="B707" s="37"/>
      <x:c r="C707" s="38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1"/>
      <x:c r="Y707" s="1"/>
      <x:c r="Z707" s="1"/>
      <x:c r="AA707" s="1"/>
      <x:c r="AB707" s="1"/>
      <x:c r="AC707" s="1"/>
      <x:c r="AD707" s="1"/>
      <x:c r="AE707" s="1"/>
      <x:c r="AF707" s="1"/>
    </x:row>
    <x:row r="708" ht="15.75" customHeight="1">
      <x:c r="A708" s="1"/>
      <x:c r="B708" s="37"/>
      <x:c r="C708" s="38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1"/>
      <x:c r="Y708" s="1"/>
      <x:c r="Z708" s="1"/>
      <x:c r="AA708" s="1"/>
      <x:c r="AB708" s="1"/>
      <x:c r="AC708" s="1"/>
      <x:c r="AD708" s="1"/>
      <x:c r="AE708" s="1"/>
      <x:c r="AF708" s="1"/>
    </x:row>
    <x:row r="709" ht="15.75" customHeight="1">
      <x:c r="A709" s="1"/>
      <x:c r="B709" s="37"/>
      <x:c r="C709" s="38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1"/>
      <x:c r="Y709" s="1"/>
      <x:c r="Z709" s="1"/>
      <x:c r="AA709" s="1"/>
      <x:c r="AB709" s="1"/>
      <x:c r="AC709" s="1"/>
      <x:c r="AD709" s="1"/>
      <x:c r="AE709" s="1"/>
      <x:c r="AF709" s="1"/>
    </x:row>
    <x:row r="710" ht="15.75" customHeight="1">
      <x:c r="A710" s="1"/>
      <x:c r="B710" s="37"/>
      <x:c r="C710" s="38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1"/>
      <x:c r="Y710" s="1"/>
      <x:c r="Z710" s="1"/>
      <x:c r="AA710" s="1"/>
      <x:c r="AB710" s="1"/>
      <x:c r="AC710" s="1"/>
      <x:c r="AD710" s="1"/>
      <x:c r="AE710" s="1"/>
      <x:c r="AF710" s="1"/>
    </x:row>
    <x:row r="711" ht="15.75" customHeight="1">
      <x:c r="A711" s="1"/>
      <x:c r="B711" s="37"/>
      <x:c r="C711" s="38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1"/>
      <x:c r="Y711" s="1"/>
      <x:c r="Z711" s="1"/>
      <x:c r="AA711" s="1"/>
      <x:c r="AB711" s="1"/>
      <x:c r="AC711" s="1"/>
      <x:c r="AD711" s="1"/>
      <x:c r="AE711" s="1"/>
      <x:c r="AF711" s="1"/>
    </x:row>
    <x:row r="712" ht="15.75" customHeight="1">
      <x:c r="A712" s="1"/>
      <x:c r="B712" s="37"/>
      <x:c r="C712" s="38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1"/>
      <x:c r="Y712" s="1"/>
      <x:c r="Z712" s="1"/>
      <x:c r="AA712" s="1"/>
      <x:c r="AB712" s="1"/>
      <x:c r="AC712" s="1"/>
      <x:c r="AD712" s="1"/>
      <x:c r="AE712" s="1"/>
      <x:c r="AF712" s="1"/>
    </x:row>
    <x:row r="713" ht="15.75" customHeight="1">
      <x:c r="A713" s="1"/>
      <x:c r="B713" s="37"/>
      <x:c r="C713" s="38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1"/>
      <x:c r="Y713" s="1"/>
      <x:c r="Z713" s="1"/>
      <x:c r="AA713" s="1"/>
      <x:c r="AB713" s="1"/>
      <x:c r="AC713" s="1"/>
      <x:c r="AD713" s="1"/>
      <x:c r="AE713" s="1"/>
      <x:c r="AF713" s="1"/>
    </x:row>
    <x:row r="714" ht="15.75" customHeight="1">
      <x:c r="A714" s="1"/>
      <x:c r="B714" s="37"/>
      <x:c r="C714" s="38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1"/>
      <x:c r="Y714" s="1"/>
      <x:c r="Z714" s="1"/>
      <x:c r="AA714" s="1"/>
      <x:c r="AB714" s="1"/>
      <x:c r="AC714" s="1"/>
      <x:c r="AD714" s="1"/>
      <x:c r="AE714" s="1"/>
      <x:c r="AF714" s="1"/>
    </x:row>
    <x:row r="715" ht="15.75" customHeight="1">
      <x:c r="A715" s="1"/>
      <x:c r="B715" s="37"/>
      <x:c r="C715" s="38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1"/>
      <x:c r="Y715" s="1"/>
      <x:c r="Z715" s="1"/>
      <x:c r="AA715" s="1"/>
      <x:c r="AB715" s="1"/>
      <x:c r="AC715" s="1"/>
      <x:c r="AD715" s="1"/>
      <x:c r="AE715" s="1"/>
      <x:c r="AF715" s="1"/>
    </x:row>
    <x:row r="716" ht="15.75" customHeight="1">
      <x:c r="A716" s="1"/>
      <x:c r="B716" s="37"/>
      <x:c r="C716" s="38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1"/>
      <x:c r="Y716" s="1"/>
      <x:c r="Z716" s="1"/>
      <x:c r="AA716" s="1"/>
      <x:c r="AB716" s="1"/>
      <x:c r="AC716" s="1"/>
      <x:c r="AD716" s="1"/>
      <x:c r="AE716" s="1"/>
      <x:c r="AF716" s="1"/>
    </x:row>
    <x:row r="717" ht="15.75" customHeight="1">
      <x:c r="A717" s="1"/>
      <x:c r="B717" s="37"/>
      <x:c r="C717" s="38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1"/>
      <x:c r="Y717" s="1"/>
      <x:c r="Z717" s="1"/>
      <x:c r="AA717" s="1"/>
      <x:c r="AB717" s="1"/>
      <x:c r="AC717" s="1"/>
      <x:c r="AD717" s="1"/>
      <x:c r="AE717" s="1"/>
      <x:c r="AF717" s="1"/>
    </x:row>
    <x:row r="718" ht="15.75" customHeight="1">
      <x:c r="A718" s="1"/>
      <x:c r="B718" s="37"/>
      <x:c r="C718" s="38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1"/>
      <x:c r="Y718" s="1"/>
      <x:c r="Z718" s="1"/>
      <x:c r="AA718" s="1"/>
      <x:c r="AB718" s="1"/>
      <x:c r="AC718" s="1"/>
      <x:c r="AD718" s="1"/>
      <x:c r="AE718" s="1"/>
      <x:c r="AF718" s="1"/>
    </x:row>
    <x:row r="719" ht="15.75" customHeight="1">
      <x:c r="A719" s="1"/>
      <x:c r="B719" s="37"/>
      <x:c r="C719" s="38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1"/>
      <x:c r="Y719" s="1"/>
      <x:c r="Z719" s="1"/>
      <x:c r="AA719" s="1"/>
      <x:c r="AB719" s="1"/>
      <x:c r="AC719" s="1"/>
      <x:c r="AD719" s="1"/>
      <x:c r="AE719" s="1"/>
      <x:c r="AF719" s="1"/>
    </x:row>
    <x:row r="720" ht="15.75" customHeight="1">
      <x:c r="A720" s="1"/>
      <x:c r="B720" s="37"/>
      <x:c r="C720" s="38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1"/>
      <x:c r="Y720" s="1"/>
      <x:c r="Z720" s="1"/>
      <x:c r="AA720" s="1"/>
      <x:c r="AB720" s="1"/>
      <x:c r="AC720" s="1"/>
      <x:c r="AD720" s="1"/>
      <x:c r="AE720" s="1"/>
      <x:c r="AF720" s="1"/>
    </x:row>
    <x:row r="721" ht="15.75" customHeight="1">
      <x:c r="A721" s="1"/>
      <x:c r="B721" s="37"/>
      <x:c r="C721" s="38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1"/>
      <x:c r="Y721" s="1"/>
      <x:c r="Z721" s="1"/>
      <x:c r="AA721" s="1"/>
      <x:c r="AB721" s="1"/>
      <x:c r="AC721" s="1"/>
      <x:c r="AD721" s="1"/>
      <x:c r="AE721" s="1"/>
      <x:c r="AF721" s="1"/>
    </x:row>
    <x:row r="722" ht="15.75" customHeight="1">
      <x:c r="A722" s="1"/>
      <x:c r="B722" s="37"/>
      <x:c r="C722" s="38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1"/>
      <x:c r="Y722" s="1"/>
      <x:c r="Z722" s="1"/>
      <x:c r="AA722" s="1"/>
      <x:c r="AB722" s="1"/>
      <x:c r="AC722" s="1"/>
      <x:c r="AD722" s="1"/>
      <x:c r="AE722" s="1"/>
      <x:c r="AF722" s="1"/>
    </x:row>
    <x:row r="723" ht="15.75" customHeight="1">
      <x:c r="A723" s="1"/>
      <x:c r="B723" s="37"/>
      <x:c r="C723" s="38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1"/>
      <x:c r="Y723" s="1"/>
      <x:c r="Z723" s="1"/>
      <x:c r="AA723" s="1"/>
      <x:c r="AB723" s="1"/>
      <x:c r="AC723" s="1"/>
      <x:c r="AD723" s="1"/>
      <x:c r="AE723" s="1"/>
      <x:c r="AF723" s="1"/>
    </x:row>
    <x:row r="724" ht="15.75" customHeight="1">
      <x:c r="A724" s="1"/>
      <x:c r="B724" s="37"/>
      <x:c r="C724" s="38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1"/>
      <x:c r="Y724" s="1"/>
      <x:c r="Z724" s="1"/>
      <x:c r="AA724" s="1"/>
      <x:c r="AB724" s="1"/>
      <x:c r="AC724" s="1"/>
      <x:c r="AD724" s="1"/>
      <x:c r="AE724" s="1"/>
      <x:c r="AF724" s="1"/>
    </x:row>
    <x:row r="725" ht="15.75" customHeight="1">
      <x:c r="A725" s="1"/>
      <x:c r="B725" s="37"/>
      <x:c r="C725" s="38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1"/>
      <x:c r="Y725" s="1"/>
      <x:c r="Z725" s="1"/>
      <x:c r="AA725" s="1"/>
      <x:c r="AB725" s="1"/>
      <x:c r="AC725" s="1"/>
      <x:c r="AD725" s="1"/>
      <x:c r="AE725" s="1"/>
      <x:c r="AF725" s="1"/>
    </x:row>
    <x:row r="726" ht="15.75" customHeight="1">
      <x:c r="A726" s="1"/>
      <x:c r="B726" s="37"/>
      <x:c r="C726" s="38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1"/>
      <x:c r="Y726" s="1"/>
      <x:c r="Z726" s="1"/>
      <x:c r="AA726" s="1"/>
      <x:c r="AB726" s="1"/>
      <x:c r="AC726" s="1"/>
      <x:c r="AD726" s="1"/>
      <x:c r="AE726" s="1"/>
      <x:c r="AF726" s="1"/>
    </x:row>
    <x:row r="727" ht="15.75" customHeight="1">
      <x:c r="A727" s="1"/>
      <x:c r="B727" s="37"/>
      <x:c r="C727" s="38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1"/>
      <x:c r="Y727" s="1"/>
      <x:c r="Z727" s="1"/>
      <x:c r="AA727" s="1"/>
      <x:c r="AB727" s="1"/>
      <x:c r="AC727" s="1"/>
      <x:c r="AD727" s="1"/>
      <x:c r="AE727" s="1"/>
      <x:c r="AF727" s="1"/>
    </x:row>
    <x:row r="728" ht="15.75" customHeight="1">
      <x:c r="A728" s="1"/>
      <x:c r="B728" s="37"/>
      <x:c r="C728" s="38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1"/>
      <x:c r="Y728" s="1"/>
      <x:c r="Z728" s="1"/>
      <x:c r="AA728" s="1"/>
      <x:c r="AB728" s="1"/>
      <x:c r="AC728" s="1"/>
      <x:c r="AD728" s="1"/>
      <x:c r="AE728" s="1"/>
      <x:c r="AF728" s="1"/>
    </x:row>
    <x:row r="729" ht="15.75" customHeight="1">
      <x:c r="A729" s="1"/>
      <x:c r="B729" s="37"/>
      <x:c r="C729" s="38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1"/>
      <x:c r="Y729" s="1"/>
      <x:c r="Z729" s="1"/>
      <x:c r="AA729" s="1"/>
      <x:c r="AB729" s="1"/>
      <x:c r="AC729" s="1"/>
      <x:c r="AD729" s="1"/>
      <x:c r="AE729" s="1"/>
      <x:c r="AF729" s="1"/>
    </x:row>
    <x:row r="730" ht="15.75" customHeight="1">
      <x:c r="A730" s="1"/>
      <x:c r="B730" s="37"/>
      <x:c r="C730" s="38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1"/>
      <x:c r="Y730" s="1"/>
      <x:c r="Z730" s="1"/>
      <x:c r="AA730" s="1"/>
      <x:c r="AB730" s="1"/>
      <x:c r="AC730" s="1"/>
      <x:c r="AD730" s="1"/>
      <x:c r="AE730" s="1"/>
      <x:c r="AF730" s="1"/>
    </x:row>
    <x:row r="731" ht="15.75" customHeight="1">
      <x:c r="A731" s="1"/>
      <x:c r="B731" s="37"/>
      <x:c r="C731" s="38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1"/>
      <x:c r="Y731" s="1"/>
      <x:c r="Z731" s="1"/>
      <x:c r="AA731" s="1"/>
      <x:c r="AB731" s="1"/>
      <x:c r="AC731" s="1"/>
      <x:c r="AD731" s="1"/>
      <x:c r="AE731" s="1"/>
      <x:c r="AF731" s="1"/>
    </x:row>
    <x:row r="732" ht="15.75" customHeight="1">
      <x:c r="A732" s="1"/>
      <x:c r="B732" s="37"/>
      <x:c r="C732" s="38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1"/>
      <x:c r="Y732" s="1"/>
      <x:c r="Z732" s="1"/>
      <x:c r="AA732" s="1"/>
      <x:c r="AB732" s="1"/>
      <x:c r="AC732" s="1"/>
      <x:c r="AD732" s="1"/>
      <x:c r="AE732" s="1"/>
      <x:c r="AF732" s="1"/>
    </x:row>
    <x:row r="733" ht="15.75" customHeight="1">
      <x:c r="A733" s="1"/>
      <x:c r="B733" s="37"/>
      <x:c r="C733" s="38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1"/>
      <x:c r="Y733" s="1"/>
      <x:c r="Z733" s="1"/>
      <x:c r="AA733" s="1"/>
      <x:c r="AB733" s="1"/>
      <x:c r="AC733" s="1"/>
      <x:c r="AD733" s="1"/>
      <x:c r="AE733" s="1"/>
      <x:c r="AF733" s="1"/>
    </x:row>
    <x:row r="734" ht="15.75" customHeight="1">
      <x:c r="A734" s="1"/>
      <x:c r="B734" s="37"/>
      <x:c r="C734" s="38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1"/>
      <x:c r="Y734" s="1"/>
      <x:c r="Z734" s="1"/>
      <x:c r="AA734" s="1"/>
      <x:c r="AB734" s="1"/>
      <x:c r="AC734" s="1"/>
      <x:c r="AD734" s="1"/>
      <x:c r="AE734" s="1"/>
      <x:c r="AF734" s="1"/>
    </x:row>
    <x:row r="735" ht="15.75" customHeight="1">
      <x:c r="A735" s="1"/>
      <x:c r="B735" s="37"/>
      <x:c r="C735" s="38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1"/>
      <x:c r="Y735" s="1"/>
      <x:c r="Z735" s="1"/>
      <x:c r="AA735" s="1"/>
      <x:c r="AB735" s="1"/>
      <x:c r="AC735" s="1"/>
      <x:c r="AD735" s="1"/>
      <x:c r="AE735" s="1"/>
      <x:c r="AF735" s="1"/>
    </x:row>
    <x:row r="736" ht="15.75" customHeight="1">
      <x:c r="A736" s="1"/>
      <x:c r="B736" s="37"/>
      <x:c r="C736" s="38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1"/>
      <x:c r="Y736" s="1"/>
      <x:c r="Z736" s="1"/>
      <x:c r="AA736" s="1"/>
      <x:c r="AB736" s="1"/>
      <x:c r="AC736" s="1"/>
      <x:c r="AD736" s="1"/>
      <x:c r="AE736" s="1"/>
      <x:c r="AF736" s="1"/>
    </x:row>
    <x:row r="737" ht="15.75" customHeight="1">
      <x:c r="A737" s="1"/>
      <x:c r="B737" s="37"/>
      <x:c r="C737" s="38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1"/>
      <x:c r="Y737" s="1"/>
      <x:c r="Z737" s="1"/>
      <x:c r="AA737" s="1"/>
      <x:c r="AB737" s="1"/>
      <x:c r="AC737" s="1"/>
      <x:c r="AD737" s="1"/>
      <x:c r="AE737" s="1"/>
      <x:c r="AF737" s="1"/>
    </x:row>
    <x:row r="738" ht="15.75" customHeight="1">
      <x:c r="A738" s="1"/>
      <x:c r="B738" s="37"/>
      <x:c r="C738" s="38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1"/>
      <x:c r="Y738" s="1"/>
      <x:c r="Z738" s="1"/>
      <x:c r="AA738" s="1"/>
      <x:c r="AB738" s="1"/>
      <x:c r="AC738" s="1"/>
      <x:c r="AD738" s="1"/>
      <x:c r="AE738" s="1"/>
      <x:c r="AF738" s="1"/>
    </x:row>
    <x:row r="739" ht="15.75" customHeight="1">
      <x:c r="A739" s="1"/>
      <x:c r="B739" s="37"/>
      <x:c r="C739" s="38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1"/>
      <x:c r="Y739" s="1"/>
      <x:c r="Z739" s="1"/>
      <x:c r="AA739" s="1"/>
      <x:c r="AB739" s="1"/>
      <x:c r="AC739" s="1"/>
      <x:c r="AD739" s="1"/>
      <x:c r="AE739" s="1"/>
      <x:c r="AF739" s="1"/>
    </x:row>
    <x:row r="740" ht="15.75" customHeight="1">
      <x:c r="A740" s="1"/>
      <x:c r="B740" s="37"/>
      <x:c r="C740" s="38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1"/>
      <x:c r="Y740" s="1"/>
      <x:c r="Z740" s="1"/>
      <x:c r="AA740" s="1"/>
      <x:c r="AB740" s="1"/>
      <x:c r="AC740" s="1"/>
      <x:c r="AD740" s="1"/>
      <x:c r="AE740" s="1"/>
      <x:c r="AF740" s="1"/>
    </x:row>
    <x:row r="741" ht="15.75" customHeight="1">
      <x:c r="A741" s="1"/>
      <x:c r="B741" s="37"/>
      <x:c r="C741" s="38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1"/>
      <x:c r="Y741" s="1"/>
      <x:c r="Z741" s="1"/>
      <x:c r="AA741" s="1"/>
      <x:c r="AB741" s="1"/>
      <x:c r="AC741" s="1"/>
      <x:c r="AD741" s="1"/>
      <x:c r="AE741" s="1"/>
      <x:c r="AF741" s="1"/>
    </x:row>
    <x:row r="742" ht="15.75" customHeight="1">
      <x:c r="A742" s="1"/>
      <x:c r="B742" s="37"/>
      <x:c r="C742" s="38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1"/>
      <x:c r="Y742" s="1"/>
      <x:c r="Z742" s="1"/>
      <x:c r="AA742" s="1"/>
      <x:c r="AB742" s="1"/>
      <x:c r="AC742" s="1"/>
      <x:c r="AD742" s="1"/>
      <x:c r="AE742" s="1"/>
      <x:c r="AF742" s="1"/>
    </x:row>
    <x:row r="743" ht="15.75" customHeight="1">
      <x:c r="A743" s="1"/>
      <x:c r="B743" s="37"/>
      <x:c r="C743" s="38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1"/>
      <x:c r="Y743" s="1"/>
      <x:c r="Z743" s="1"/>
      <x:c r="AA743" s="1"/>
      <x:c r="AB743" s="1"/>
      <x:c r="AC743" s="1"/>
      <x:c r="AD743" s="1"/>
      <x:c r="AE743" s="1"/>
      <x:c r="AF743" s="1"/>
    </x:row>
    <x:row r="744" ht="15.75" customHeight="1">
      <x:c r="A744" s="1"/>
      <x:c r="B744" s="37"/>
      <x:c r="C744" s="38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1"/>
      <x:c r="Y744" s="1"/>
      <x:c r="Z744" s="1"/>
      <x:c r="AA744" s="1"/>
      <x:c r="AB744" s="1"/>
      <x:c r="AC744" s="1"/>
      <x:c r="AD744" s="1"/>
      <x:c r="AE744" s="1"/>
      <x:c r="AF744" s="1"/>
    </x:row>
    <x:row r="745" ht="15.75" customHeight="1">
      <x:c r="A745" s="1"/>
      <x:c r="B745" s="37"/>
      <x:c r="C745" s="38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1"/>
      <x:c r="Y745" s="1"/>
      <x:c r="Z745" s="1"/>
      <x:c r="AA745" s="1"/>
      <x:c r="AB745" s="1"/>
      <x:c r="AC745" s="1"/>
      <x:c r="AD745" s="1"/>
      <x:c r="AE745" s="1"/>
      <x:c r="AF745" s="1"/>
    </x:row>
    <x:row r="746" ht="15.75" customHeight="1">
      <x:c r="A746" s="1"/>
      <x:c r="B746" s="37"/>
      <x:c r="C746" s="38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1"/>
      <x:c r="Y746" s="1"/>
      <x:c r="Z746" s="1"/>
      <x:c r="AA746" s="1"/>
      <x:c r="AB746" s="1"/>
      <x:c r="AC746" s="1"/>
      <x:c r="AD746" s="1"/>
      <x:c r="AE746" s="1"/>
      <x:c r="AF746" s="1"/>
    </x:row>
    <x:row r="747" ht="15.75" customHeight="1">
      <x:c r="A747" s="1"/>
      <x:c r="B747" s="37"/>
      <x:c r="C747" s="38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1"/>
      <x:c r="Y747" s="1"/>
      <x:c r="Z747" s="1"/>
      <x:c r="AA747" s="1"/>
      <x:c r="AB747" s="1"/>
      <x:c r="AC747" s="1"/>
      <x:c r="AD747" s="1"/>
      <x:c r="AE747" s="1"/>
      <x:c r="AF747" s="1"/>
    </x:row>
    <x:row r="748" ht="15.75" customHeight="1">
      <x:c r="A748" s="1"/>
      <x:c r="B748" s="37"/>
      <x:c r="C748" s="38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1"/>
      <x:c r="Y748" s="1"/>
      <x:c r="Z748" s="1"/>
      <x:c r="AA748" s="1"/>
      <x:c r="AB748" s="1"/>
      <x:c r="AC748" s="1"/>
      <x:c r="AD748" s="1"/>
      <x:c r="AE748" s="1"/>
      <x:c r="AF748" s="1"/>
    </x:row>
    <x:row r="749" ht="15.75" customHeight="1">
      <x:c r="A749" s="1"/>
      <x:c r="B749" s="37"/>
      <x:c r="C749" s="38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1"/>
      <x:c r="Y749" s="1"/>
      <x:c r="Z749" s="1"/>
      <x:c r="AA749" s="1"/>
      <x:c r="AB749" s="1"/>
      <x:c r="AC749" s="1"/>
      <x:c r="AD749" s="1"/>
      <x:c r="AE749" s="1"/>
      <x:c r="AF749" s="1"/>
    </x:row>
    <x:row r="750" ht="15.75" customHeight="1">
      <x:c r="A750" s="1"/>
      <x:c r="B750" s="37"/>
      <x:c r="C750" s="38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1"/>
      <x:c r="Y750" s="1"/>
      <x:c r="Z750" s="1"/>
      <x:c r="AA750" s="1"/>
      <x:c r="AB750" s="1"/>
      <x:c r="AC750" s="1"/>
      <x:c r="AD750" s="1"/>
      <x:c r="AE750" s="1"/>
      <x:c r="AF750" s="1"/>
    </x:row>
    <x:row r="751" ht="15.75" customHeight="1">
      <x:c r="A751" s="1"/>
      <x:c r="B751" s="37"/>
      <x:c r="C751" s="38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1"/>
      <x:c r="Y751" s="1"/>
      <x:c r="Z751" s="1"/>
      <x:c r="AA751" s="1"/>
      <x:c r="AB751" s="1"/>
      <x:c r="AC751" s="1"/>
      <x:c r="AD751" s="1"/>
      <x:c r="AE751" s="1"/>
      <x:c r="AF751" s="1"/>
    </x:row>
    <x:row r="752" ht="15.75" customHeight="1">
      <x:c r="A752" s="1"/>
      <x:c r="B752" s="37"/>
      <x:c r="C752" s="38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1"/>
      <x:c r="Y752" s="1"/>
      <x:c r="Z752" s="1"/>
      <x:c r="AA752" s="1"/>
      <x:c r="AB752" s="1"/>
      <x:c r="AC752" s="1"/>
      <x:c r="AD752" s="1"/>
      <x:c r="AE752" s="1"/>
      <x:c r="AF752" s="1"/>
    </x:row>
    <x:row r="753" ht="15.75" customHeight="1">
      <x:c r="A753" s="1"/>
      <x:c r="B753" s="37"/>
      <x:c r="C753" s="38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1"/>
      <x:c r="Y753" s="1"/>
      <x:c r="Z753" s="1"/>
      <x:c r="AA753" s="1"/>
      <x:c r="AB753" s="1"/>
      <x:c r="AC753" s="1"/>
      <x:c r="AD753" s="1"/>
      <x:c r="AE753" s="1"/>
      <x:c r="AF753" s="1"/>
    </x:row>
    <x:row r="754" ht="15.75" customHeight="1">
      <x:c r="A754" s="1"/>
      <x:c r="B754" s="37"/>
      <x:c r="C754" s="38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1"/>
      <x:c r="Y754" s="1"/>
      <x:c r="Z754" s="1"/>
      <x:c r="AA754" s="1"/>
      <x:c r="AB754" s="1"/>
      <x:c r="AC754" s="1"/>
      <x:c r="AD754" s="1"/>
      <x:c r="AE754" s="1"/>
      <x:c r="AF754" s="1"/>
    </x:row>
    <x:row r="755" ht="15.75" customHeight="1">
      <x:c r="A755" s="1"/>
      <x:c r="B755" s="37"/>
      <x:c r="C755" s="38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1"/>
      <x:c r="Y755" s="1"/>
      <x:c r="Z755" s="1"/>
      <x:c r="AA755" s="1"/>
      <x:c r="AB755" s="1"/>
      <x:c r="AC755" s="1"/>
      <x:c r="AD755" s="1"/>
      <x:c r="AE755" s="1"/>
      <x:c r="AF755" s="1"/>
    </x:row>
    <x:row r="756" ht="15.75" customHeight="1">
      <x:c r="A756" s="1"/>
      <x:c r="B756" s="37"/>
      <x:c r="C756" s="38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1"/>
      <x:c r="Y756" s="1"/>
      <x:c r="Z756" s="1"/>
      <x:c r="AA756" s="1"/>
      <x:c r="AB756" s="1"/>
      <x:c r="AC756" s="1"/>
      <x:c r="AD756" s="1"/>
      <x:c r="AE756" s="1"/>
      <x:c r="AF756" s="1"/>
    </x:row>
    <x:row r="757" ht="15.75" customHeight="1">
      <x:c r="A757" s="1"/>
      <x:c r="B757" s="37"/>
      <x:c r="C757" s="38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1"/>
      <x:c r="Y757" s="1"/>
      <x:c r="Z757" s="1"/>
      <x:c r="AA757" s="1"/>
      <x:c r="AB757" s="1"/>
      <x:c r="AC757" s="1"/>
      <x:c r="AD757" s="1"/>
      <x:c r="AE757" s="1"/>
      <x:c r="AF757" s="1"/>
    </x:row>
    <x:row r="758" ht="15.75" customHeight="1">
      <x:c r="A758" s="1"/>
      <x:c r="B758" s="37"/>
      <x:c r="C758" s="38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1"/>
      <x:c r="Y758" s="1"/>
      <x:c r="Z758" s="1"/>
      <x:c r="AA758" s="1"/>
      <x:c r="AB758" s="1"/>
      <x:c r="AC758" s="1"/>
      <x:c r="AD758" s="1"/>
      <x:c r="AE758" s="1"/>
      <x:c r="AF758" s="1"/>
    </x:row>
    <x:row r="759" ht="15.75" customHeight="1">
      <x:c r="A759" s="1"/>
      <x:c r="B759" s="37"/>
      <x:c r="C759" s="38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1"/>
      <x:c r="Y759" s="1"/>
      <x:c r="Z759" s="1"/>
      <x:c r="AA759" s="1"/>
      <x:c r="AB759" s="1"/>
      <x:c r="AC759" s="1"/>
      <x:c r="AD759" s="1"/>
      <x:c r="AE759" s="1"/>
      <x:c r="AF759" s="1"/>
    </x:row>
    <x:row r="760" ht="15.75" customHeight="1">
      <x:c r="A760" s="1"/>
      <x:c r="B760" s="37"/>
      <x:c r="C760" s="38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1"/>
      <x:c r="Y760" s="1"/>
      <x:c r="Z760" s="1"/>
      <x:c r="AA760" s="1"/>
      <x:c r="AB760" s="1"/>
      <x:c r="AC760" s="1"/>
      <x:c r="AD760" s="1"/>
      <x:c r="AE760" s="1"/>
      <x:c r="AF760" s="1"/>
    </x:row>
    <x:row r="761" ht="15.75" customHeight="1">
      <x:c r="A761" s="1"/>
      <x:c r="B761" s="37"/>
      <x:c r="C761" s="38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1"/>
      <x:c r="Y761" s="1"/>
      <x:c r="Z761" s="1"/>
      <x:c r="AA761" s="1"/>
      <x:c r="AB761" s="1"/>
      <x:c r="AC761" s="1"/>
      <x:c r="AD761" s="1"/>
      <x:c r="AE761" s="1"/>
      <x:c r="AF761" s="1"/>
    </x:row>
    <x:row r="762" ht="15.75" customHeight="1">
      <x:c r="A762" s="1"/>
      <x:c r="B762" s="37"/>
      <x:c r="C762" s="38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1"/>
      <x:c r="Y762" s="1"/>
      <x:c r="Z762" s="1"/>
      <x:c r="AA762" s="1"/>
      <x:c r="AB762" s="1"/>
      <x:c r="AC762" s="1"/>
      <x:c r="AD762" s="1"/>
      <x:c r="AE762" s="1"/>
      <x:c r="AF762" s="1"/>
    </x:row>
    <x:row r="763" ht="15.75" customHeight="1">
      <x:c r="A763" s="1"/>
      <x:c r="B763" s="37"/>
      <x:c r="C763" s="38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1"/>
      <x:c r="Y763" s="1"/>
      <x:c r="Z763" s="1"/>
      <x:c r="AA763" s="1"/>
      <x:c r="AB763" s="1"/>
      <x:c r="AC763" s="1"/>
      <x:c r="AD763" s="1"/>
      <x:c r="AE763" s="1"/>
      <x:c r="AF763" s="1"/>
    </x:row>
    <x:row r="764" ht="15.75" customHeight="1">
      <x:c r="A764" s="1"/>
      <x:c r="B764" s="37"/>
      <x:c r="C764" s="38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1"/>
      <x:c r="Y764" s="1"/>
      <x:c r="Z764" s="1"/>
      <x:c r="AA764" s="1"/>
      <x:c r="AB764" s="1"/>
      <x:c r="AC764" s="1"/>
      <x:c r="AD764" s="1"/>
      <x:c r="AE764" s="1"/>
      <x:c r="AF764" s="1"/>
    </x:row>
    <x:row r="765" ht="15.75" customHeight="1">
      <x:c r="A765" s="1"/>
      <x:c r="B765" s="37"/>
      <x:c r="C765" s="38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1"/>
      <x:c r="Y765" s="1"/>
      <x:c r="Z765" s="1"/>
      <x:c r="AA765" s="1"/>
      <x:c r="AB765" s="1"/>
      <x:c r="AC765" s="1"/>
      <x:c r="AD765" s="1"/>
      <x:c r="AE765" s="1"/>
      <x:c r="AF765" s="1"/>
    </x:row>
    <x:row r="766" ht="15.75" customHeight="1">
      <x:c r="A766" s="1"/>
      <x:c r="B766" s="37"/>
      <x:c r="C766" s="38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1"/>
      <x:c r="Y766" s="1"/>
      <x:c r="Z766" s="1"/>
      <x:c r="AA766" s="1"/>
      <x:c r="AB766" s="1"/>
      <x:c r="AC766" s="1"/>
      <x:c r="AD766" s="1"/>
      <x:c r="AE766" s="1"/>
      <x:c r="AF766" s="1"/>
    </x:row>
    <x:row r="767" ht="15.75" customHeight="1">
      <x:c r="A767" s="1"/>
      <x:c r="B767" s="37"/>
      <x:c r="C767" s="38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1"/>
      <x:c r="Y767" s="1"/>
      <x:c r="Z767" s="1"/>
      <x:c r="AA767" s="1"/>
      <x:c r="AB767" s="1"/>
      <x:c r="AC767" s="1"/>
      <x:c r="AD767" s="1"/>
      <x:c r="AE767" s="1"/>
      <x:c r="AF767" s="1"/>
    </x:row>
    <x:row r="768" ht="15.75" customHeight="1">
      <x:c r="A768" s="1"/>
      <x:c r="B768" s="37"/>
      <x:c r="C768" s="38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1"/>
      <x:c r="Y768" s="1"/>
      <x:c r="Z768" s="1"/>
      <x:c r="AA768" s="1"/>
      <x:c r="AB768" s="1"/>
      <x:c r="AC768" s="1"/>
      <x:c r="AD768" s="1"/>
      <x:c r="AE768" s="1"/>
      <x:c r="AF768" s="1"/>
    </x:row>
    <x:row r="769" ht="15.75" customHeight="1">
      <x:c r="A769" s="1"/>
      <x:c r="B769" s="37"/>
      <x:c r="C769" s="38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1"/>
      <x:c r="Y769" s="1"/>
      <x:c r="Z769" s="1"/>
      <x:c r="AA769" s="1"/>
      <x:c r="AB769" s="1"/>
      <x:c r="AC769" s="1"/>
      <x:c r="AD769" s="1"/>
      <x:c r="AE769" s="1"/>
      <x:c r="AF769" s="1"/>
    </x:row>
    <x:row r="770" ht="15.75" customHeight="1">
      <x:c r="A770" s="1"/>
      <x:c r="B770" s="37"/>
      <x:c r="C770" s="38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1"/>
      <x:c r="Y770" s="1"/>
      <x:c r="Z770" s="1"/>
      <x:c r="AA770" s="1"/>
      <x:c r="AB770" s="1"/>
      <x:c r="AC770" s="1"/>
      <x:c r="AD770" s="1"/>
      <x:c r="AE770" s="1"/>
      <x:c r="AF770" s="1"/>
    </x:row>
    <x:row r="771" ht="15.75" customHeight="1">
      <x:c r="A771" s="1"/>
      <x:c r="B771" s="37"/>
      <x:c r="C771" s="38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1"/>
      <x:c r="Y771" s="1"/>
      <x:c r="Z771" s="1"/>
      <x:c r="AA771" s="1"/>
      <x:c r="AB771" s="1"/>
      <x:c r="AC771" s="1"/>
      <x:c r="AD771" s="1"/>
      <x:c r="AE771" s="1"/>
      <x:c r="AF771" s="1"/>
    </x:row>
    <x:row r="772" ht="15.75" customHeight="1">
      <x:c r="A772" s="1"/>
      <x:c r="B772" s="37"/>
      <x:c r="C772" s="38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1"/>
      <x:c r="Y772" s="1"/>
      <x:c r="Z772" s="1"/>
      <x:c r="AA772" s="1"/>
      <x:c r="AB772" s="1"/>
      <x:c r="AC772" s="1"/>
      <x:c r="AD772" s="1"/>
      <x:c r="AE772" s="1"/>
      <x:c r="AF772" s="1"/>
    </x:row>
    <x:row r="773" ht="15.75" customHeight="1">
      <x:c r="A773" s="1"/>
      <x:c r="B773" s="37"/>
      <x:c r="C773" s="38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1"/>
      <x:c r="Y773" s="1"/>
      <x:c r="Z773" s="1"/>
      <x:c r="AA773" s="1"/>
      <x:c r="AB773" s="1"/>
      <x:c r="AC773" s="1"/>
      <x:c r="AD773" s="1"/>
      <x:c r="AE773" s="1"/>
      <x:c r="AF773" s="1"/>
    </x:row>
    <x:row r="774" ht="15.75" customHeight="1">
      <x:c r="A774" s="1"/>
      <x:c r="B774" s="37"/>
      <x:c r="C774" s="38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1"/>
      <x:c r="Y774" s="1"/>
      <x:c r="Z774" s="1"/>
      <x:c r="AA774" s="1"/>
      <x:c r="AB774" s="1"/>
      <x:c r="AC774" s="1"/>
      <x:c r="AD774" s="1"/>
      <x:c r="AE774" s="1"/>
      <x:c r="AF774" s="1"/>
    </x:row>
    <x:row r="775" ht="15.75" customHeight="1">
      <x:c r="A775" s="1"/>
      <x:c r="B775" s="37"/>
      <x:c r="C775" s="38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1"/>
      <x:c r="Y775" s="1"/>
      <x:c r="Z775" s="1"/>
      <x:c r="AA775" s="1"/>
      <x:c r="AB775" s="1"/>
      <x:c r="AC775" s="1"/>
      <x:c r="AD775" s="1"/>
      <x:c r="AE775" s="1"/>
      <x:c r="AF775" s="1"/>
    </x:row>
    <x:row r="776" ht="15.75" customHeight="1">
      <x:c r="A776" s="1"/>
      <x:c r="B776" s="37"/>
      <x:c r="C776" s="38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1"/>
      <x:c r="Y776" s="1"/>
      <x:c r="Z776" s="1"/>
      <x:c r="AA776" s="1"/>
      <x:c r="AB776" s="1"/>
      <x:c r="AC776" s="1"/>
      <x:c r="AD776" s="1"/>
      <x:c r="AE776" s="1"/>
      <x:c r="AF776" s="1"/>
    </x:row>
    <x:row r="777" ht="15.75" customHeight="1">
      <x:c r="A777" s="1"/>
      <x:c r="B777" s="37"/>
      <x:c r="C777" s="38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1"/>
      <x:c r="Y777" s="1"/>
      <x:c r="Z777" s="1"/>
      <x:c r="AA777" s="1"/>
      <x:c r="AB777" s="1"/>
      <x:c r="AC777" s="1"/>
      <x:c r="AD777" s="1"/>
      <x:c r="AE777" s="1"/>
      <x:c r="AF777" s="1"/>
    </x:row>
    <x:row r="778" ht="15.75" customHeight="1">
      <x:c r="A778" s="1"/>
      <x:c r="B778" s="37"/>
      <x:c r="C778" s="38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1"/>
      <x:c r="Y778" s="1"/>
      <x:c r="Z778" s="1"/>
      <x:c r="AA778" s="1"/>
      <x:c r="AB778" s="1"/>
      <x:c r="AC778" s="1"/>
      <x:c r="AD778" s="1"/>
      <x:c r="AE778" s="1"/>
      <x:c r="AF778" s="1"/>
    </x:row>
    <x:row r="779" ht="15.75" customHeight="1">
      <x:c r="A779" s="1"/>
      <x:c r="B779" s="37"/>
      <x:c r="C779" s="38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1"/>
      <x:c r="Y779" s="1"/>
      <x:c r="Z779" s="1"/>
      <x:c r="AA779" s="1"/>
      <x:c r="AB779" s="1"/>
      <x:c r="AC779" s="1"/>
      <x:c r="AD779" s="1"/>
      <x:c r="AE779" s="1"/>
      <x:c r="AF779" s="1"/>
    </x:row>
    <x:row r="780" ht="15.75" customHeight="1">
      <x:c r="A780" s="1"/>
      <x:c r="B780" s="37"/>
      <x:c r="C780" s="38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1"/>
      <x:c r="Y780" s="1"/>
      <x:c r="Z780" s="1"/>
      <x:c r="AA780" s="1"/>
      <x:c r="AB780" s="1"/>
      <x:c r="AC780" s="1"/>
      <x:c r="AD780" s="1"/>
      <x:c r="AE780" s="1"/>
      <x:c r="AF780" s="1"/>
    </x:row>
    <x:row r="781" ht="15.75" customHeight="1">
      <x:c r="A781" s="1"/>
      <x:c r="B781" s="37"/>
      <x:c r="C781" s="38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1"/>
      <x:c r="Y781" s="1"/>
      <x:c r="Z781" s="1"/>
      <x:c r="AA781" s="1"/>
      <x:c r="AB781" s="1"/>
      <x:c r="AC781" s="1"/>
      <x:c r="AD781" s="1"/>
      <x:c r="AE781" s="1"/>
      <x:c r="AF781" s="1"/>
    </x:row>
    <x:row r="782" ht="15.75" customHeight="1">
      <x:c r="A782" s="1"/>
      <x:c r="B782" s="37"/>
      <x:c r="C782" s="38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1"/>
      <x:c r="Y782" s="1"/>
      <x:c r="Z782" s="1"/>
      <x:c r="AA782" s="1"/>
      <x:c r="AB782" s="1"/>
      <x:c r="AC782" s="1"/>
      <x:c r="AD782" s="1"/>
      <x:c r="AE782" s="1"/>
      <x:c r="AF782" s="1"/>
    </x:row>
    <x:row r="783" ht="15.75" customHeight="1">
      <x:c r="A783" s="1"/>
      <x:c r="B783" s="37"/>
      <x:c r="C783" s="38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1"/>
      <x:c r="Y783" s="1"/>
      <x:c r="Z783" s="1"/>
      <x:c r="AA783" s="1"/>
      <x:c r="AB783" s="1"/>
      <x:c r="AC783" s="1"/>
      <x:c r="AD783" s="1"/>
      <x:c r="AE783" s="1"/>
      <x:c r="AF783" s="1"/>
    </x:row>
    <x:row r="784" ht="15.75" customHeight="1">
      <x:c r="A784" s="1"/>
      <x:c r="B784" s="37"/>
      <x:c r="C784" s="38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1"/>
      <x:c r="Y784" s="1"/>
      <x:c r="Z784" s="1"/>
      <x:c r="AA784" s="1"/>
      <x:c r="AB784" s="1"/>
      <x:c r="AC784" s="1"/>
      <x:c r="AD784" s="1"/>
      <x:c r="AE784" s="1"/>
      <x:c r="AF784" s="1"/>
    </x:row>
    <x:row r="785" ht="15.75" customHeight="1">
      <x:c r="A785" s="1"/>
      <x:c r="B785" s="37"/>
      <x:c r="C785" s="38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1"/>
      <x:c r="Y785" s="1"/>
      <x:c r="Z785" s="1"/>
      <x:c r="AA785" s="1"/>
      <x:c r="AB785" s="1"/>
      <x:c r="AC785" s="1"/>
      <x:c r="AD785" s="1"/>
      <x:c r="AE785" s="1"/>
      <x:c r="AF785" s="1"/>
    </x:row>
    <x:row r="786" ht="15.75" customHeight="1">
      <x:c r="A786" s="1"/>
      <x:c r="B786" s="37"/>
      <x:c r="C786" s="38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1"/>
      <x:c r="Y786" s="1"/>
      <x:c r="Z786" s="1"/>
      <x:c r="AA786" s="1"/>
      <x:c r="AB786" s="1"/>
      <x:c r="AC786" s="1"/>
      <x:c r="AD786" s="1"/>
      <x:c r="AE786" s="1"/>
      <x:c r="AF786" s="1"/>
    </x:row>
    <x:row r="787" ht="15.75" customHeight="1">
      <x:c r="A787" s="1"/>
      <x:c r="B787" s="37"/>
      <x:c r="C787" s="38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1"/>
      <x:c r="Y787" s="1"/>
      <x:c r="Z787" s="1"/>
      <x:c r="AA787" s="1"/>
      <x:c r="AB787" s="1"/>
      <x:c r="AC787" s="1"/>
      <x:c r="AD787" s="1"/>
      <x:c r="AE787" s="1"/>
      <x:c r="AF787" s="1"/>
    </x:row>
    <x:row r="788" ht="15.75" customHeight="1">
      <x:c r="A788" s="1"/>
      <x:c r="B788" s="37"/>
      <x:c r="C788" s="38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1"/>
      <x:c r="Y788" s="1"/>
      <x:c r="Z788" s="1"/>
      <x:c r="AA788" s="1"/>
      <x:c r="AB788" s="1"/>
      <x:c r="AC788" s="1"/>
      <x:c r="AD788" s="1"/>
      <x:c r="AE788" s="1"/>
      <x:c r="AF788" s="1"/>
    </x:row>
    <x:row r="789" ht="15.75" customHeight="1">
      <x:c r="A789" s="1"/>
      <x:c r="B789" s="37"/>
      <x:c r="C789" s="38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1"/>
      <x:c r="Y789" s="1"/>
      <x:c r="Z789" s="1"/>
      <x:c r="AA789" s="1"/>
      <x:c r="AB789" s="1"/>
      <x:c r="AC789" s="1"/>
      <x:c r="AD789" s="1"/>
      <x:c r="AE789" s="1"/>
      <x:c r="AF789" s="1"/>
    </x:row>
    <x:row r="790" ht="15.75" customHeight="1">
      <x:c r="A790" s="1"/>
      <x:c r="B790" s="37"/>
      <x:c r="C790" s="38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1"/>
      <x:c r="Y790" s="1"/>
      <x:c r="Z790" s="1"/>
      <x:c r="AA790" s="1"/>
      <x:c r="AB790" s="1"/>
      <x:c r="AC790" s="1"/>
      <x:c r="AD790" s="1"/>
      <x:c r="AE790" s="1"/>
      <x:c r="AF790" s="1"/>
    </x:row>
    <x:row r="791" ht="15.75" customHeight="1">
      <x:c r="A791" s="1"/>
      <x:c r="B791" s="37"/>
      <x:c r="C791" s="38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1"/>
      <x:c r="Y791" s="1"/>
      <x:c r="Z791" s="1"/>
      <x:c r="AA791" s="1"/>
      <x:c r="AB791" s="1"/>
      <x:c r="AC791" s="1"/>
      <x:c r="AD791" s="1"/>
      <x:c r="AE791" s="1"/>
      <x:c r="AF791" s="1"/>
    </x:row>
    <x:row r="792" ht="15.75" customHeight="1">
      <x:c r="A792" s="1"/>
      <x:c r="B792" s="37"/>
      <x:c r="C792" s="38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1"/>
      <x:c r="Y792" s="1"/>
      <x:c r="Z792" s="1"/>
      <x:c r="AA792" s="1"/>
      <x:c r="AB792" s="1"/>
      <x:c r="AC792" s="1"/>
      <x:c r="AD792" s="1"/>
      <x:c r="AE792" s="1"/>
      <x:c r="AF792" s="1"/>
    </x:row>
    <x:row r="793" ht="15.75" customHeight="1">
      <x:c r="A793" s="1"/>
      <x:c r="B793" s="37"/>
      <x:c r="C793" s="38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1"/>
      <x:c r="Y793" s="1"/>
      <x:c r="Z793" s="1"/>
      <x:c r="AA793" s="1"/>
      <x:c r="AB793" s="1"/>
      <x:c r="AC793" s="1"/>
      <x:c r="AD793" s="1"/>
      <x:c r="AE793" s="1"/>
      <x:c r="AF793" s="1"/>
    </x:row>
    <x:row r="794" ht="15.75" customHeight="1">
      <x:c r="A794" s="1"/>
      <x:c r="B794" s="37"/>
      <x:c r="C794" s="38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1"/>
      <x:c r="Y794" s="1"/>
      <x:c r="Z794" s="1"/>
      <x:c r="AA794" s="1"/>
      <x:c r="AB794" s="1"/>
      <x:c r="AC794" s="1"/>
      <x:c r="AD794" s="1"/>
      <x:c r="AE794" s="1"/>
      <x:c r="AF794" s="1"/>
    </x:row>
    <x:row r="795" ht="15.75" customHeight="1">
      <x:c r="A795" s="1"/>
      <x:c r="B795" s="37"/>
      <x:c r="C795" s="38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1"/>
      <x:c r="Y795" s="1"/>
      <x:c r="Z795" s="1"/>
      <x:c r="AA795" s="1"/>
      <x:c r="AB795" s="1"/>
      <x:c r="AC795" s="1"/>
      <x:c r="AD795" s="1"/>
      <x:c r="AE795" s="1"/>
      <x:c r="AF795" s="1"/>
    </x:row>
    <x:row r="796" ht="15.75" customHeight="1">
      <x:c r="A796" s="1"/>
      <x:c r="B796" s="37"/>
      <x:c r="C796" s="38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1"/>
      <x:c r="Y796" s="1"/>
      <x:c r="Z796" s="1"/>
      <x:c r="AA796" s="1"/>
      <x:c r="AB796" s="1"/>
      <x:c r="AC796" s="1"/>
      <x:c r="AD796" s="1"/>
      <x:c r="AE796" s="1"/>
      <x:c r="AF796" s="1"/>
    </x:row>
    <x:row r="797" ht="15.75" customHeight="1">
      <x:c r="A797" s="1"/>
      <x:c r="B797" s="37"/>
      <x:c r="C797" s="38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1"/>
      <x:c r="Y797" s="1"/>
      <x:c r="Z797" s="1"/>
      <x:c r="AA797" s="1"/>
      <x:c r="AB797" s="1"/>
      <x:c r="AC797" s="1"/>
      <x:c r="AD797" s="1"/>
      <x:c r="AE797" s="1"/>
      <x:c r="AF797" s="1"/>
    </x:row>
    <x:row r="798" ht="15.75" customHeight="1">
      <x:c r="A798" s="1"/>
      <x:c r="B798" s="37"/>
      <x:c r="C798" s="38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1"/>
      <x:c r="Y798" s="1"/>
      <x:c r="Z798" s="1"/>
      <x:c r="AA798" s="1"/>
      <x:c r="AB798" s="1"/>
      <x:c r="AC798" s="1"/>
      <x:c r="AD798" s="1"/>
      <x:c r="AE798" s="1"/>
      <x:c r="AF798" s="1"/>
    </x:row>
    <x:row r="799" ht="15.75" customHeight="1">
      <x:c r="A799" s="1"/>
      <x:c r="B799" s="37"/>
      <x:c r="C799" s="38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1"/>
      <x:c r="Y799" s="1"/>
      <x:c r="Z799" s="1"/>
      <x:c r="AA799" s="1"/>
      <x:c r="AB799" s="1"/>
      <x:c r="AC799" s="1"/>
      <x:c r="AD799" s="1"/>
      <x:c r="AE799" s="1"/>
      <x:c r="AF799" s="1"/>
    </x:row>
    <x:row r="800" ht="15.75" customHeight="1">
      <x:c r="A800" s="1"/>
      <x:c r="B800" s="37"/>
      <x:c r="C800" s="38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1"/>
      <x:c r="Y800" s="1"/>
      <x:c r="Z800" s="1"/>
      <x:c r="AA800" s="1"/>
      <x:c r="AB800" s="1"/>
      <x:c r="AC800" s="1"/>
      <x:c r="AD800" s="1"/>
      <x:c r="AE800" s="1"/>
      <x:c r="AF800" s="1"/>
    </x:row>
    <x:row r="801" ht="15.75" customHeight="1">
      <x:c r="A801" s="1"/>
      <x:c r="B801" s="37"/>
      <x:c r="C801" s="38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1"/>
      <x:c r="Y801" s="1"/>
      <x:c r="Z801" s="1"/>
      <x:c r="AA801" s="1"/>
      <x:c r="AB801" s="1"/>
      <x:c r="AC801" s="1"/>
      <x:c r="AD801" s="1"/>
      <x:c r="AE801" s="1"/>
      <x:c r="AF801" s="1"/>
    </x:row>
    <x:row r="802" ht="15.75" customHeight="1">
      <x:c r="A802" s="1"/>
      <x:c r="B802" s="37"/>
      <x:c r="C802" s="38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1"/>
      <x:c r="Y802" s="1"/>
      <x:c r="Z802" s="1"/>
      <x:c r="AA802" s="1"/>
      <x:c r="AB802" s="1"/>
      <x:c r="AC802" s="1"/>
      <x:c r="AD802" s="1"/>
      <x:c r="AE802" s="1"/>
      <x:c r="AF802" s="1"/>
    </x:row>
    <x:row r="803" ht="15.75" customHeight="1">
      <x:c r="A803" s="1"/>
      <x:c r="B803" s="37"/>
      <x:c r="C803" s="38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1"/>
      <x:c r="Y803" s="1"/>
      <x:c r="Z803" s="1"/>
      <x:c r="AA803" s="1"/>
      <x:c r="AB803" s="1"/>
      <x:c r="AC803" s="1"/>
      <x:c r="AD803" s="1"/>
      <x:c r="AE803" s="1"/>
      <x:c r="AF803" s="1"/>
    </x:row>
    <x:row r="804" ht="15.75" customHeight="1">
      <x:c r="A804" s="1"/>
      <x:c r="B804" s="37"/>
      <x:c r="C804" s="38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1"/>
      <x:c r="Y804" s="1"/>
      <x:c r="Z804" s="1"/>
      <x:c r="AA804" s="1"/>
      <x:c r="AB804" s="1"/>
      <x:c r="AC804" s="1"/>
      <x:c r="AD804" s="1"/>
      <x:c r="AE804" s="1"/>
      <x:c r="AF804" s="1"/>
    </x:row>
    <x:row r="805" ht="15.75" customHeight="1">
      <x:c r="A805" s="1"/>
      <x:c r="B805" s="37"/>
      <x:c r="C805" s="38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1"/>
      <x:c r="Y805" s="1"/>
      <x:c r="Z805" s="1"/>
      <x:c r="AA805" s="1"/>
      <x:c r="AB805" s="1"/>
      <x:c r="AC805" s="1"/>
      <x:c r="AD805" s="1"/>
      <x:c r="AE805" s="1"/>
      <x:c r="AF805" s="1"/>
    </x:row>
    <x:row r="806" ht="15.75" customHeight="1">
      <x:c r="A806" s="1"/>
      <x:c r="B806" s="37"/>
      <x:c r="C806" s="38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1"/>
      <x:c r="Y806" s="1"/>
      <x:c r="Z806" s="1"/>
      <x:c r="AA806" s="1"/>
      <x:c r="AB806" s="1"/>
      <x:c r="AC806" s="1"/>
      <x:c r="AD806" s="1"/>
      <x:c r="AE806" s="1"/>
      <x:c r="AF806" s="1"/>
    </x:row>
    <x:row r="807" ht="15.75" customHeight="1">
      <x:c r="A807" s="1"/>
      <x:c r="B807" s="37"/>
      <x:c r="C807" s="38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1"/>
      <x:c r="Y807" s="1"/>
      <x:c r="Z807" s="1"/>
      <x:c r="AA807" s="1"/>
      <x:c r="AB807" s="1"/>
      <x:c r="AC807" s="1"/>
      <x:c r="AD807" s="1"/>
      <x:c r="AE807" s="1"/>
      <x:c r="AF807" s="1"/>
    </x:row>
    <x:row r="808" ht="15.75" customHeight="1">
      <x:c r="A808" s="1"/>
      <x:c r="B808" s="37"/>
      <x:c r="C808" s="38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1"/>
      <x:c r="Y808" s="1"/>
      <x:c r="Z808" s="1"/>
      <x:c r="AA808" s="1"/>
      <x:c r="AB808" s="1"/>
      <x:c r="AC808" s="1"/>
      <x:c r="AD808" s="1"/>
      <x:c r="AE808" s="1"/>
      <x:c r="AF808" s="1"/>
    </x:row>
    <x:row r="809" ht="15.75" customHeight="1">
      <x:c r="A809" s="1"/>
      <x:c r="B809" s="37"/>
      <x:c r="C809" s="38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1"/>
      <x:c r="Y809" s="1"/>
      <x:c r="Z809" s="1"/>
      <x:c r="AA809" s="1"/>
      <x:c r="AB809" s="1"/>
      <x:c r="AC809" s="1"/>
      <x:c r="AD809" s="1"/>
      <x:c r="AE809" s="1"/>
      <x:c r="AF809" s="1"/>
    </x:row>
    <x:row r="810" ht="15.75" customHeight="1">
      <x:c r="A810" s="1"/>
      <x:c r="B810" s="37"/>
      <x:c r="C810" s="38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1"/>
      <x:c r="Y810" s="1"/>
      <x:c r="Z810" s="1"/>
      <x:c r="AA810" s="1"/>
      <x:c r="AB810" s="1"/>
      <x:c r="AC810" s="1"/>
      <x:c r="AD810" s="1"/>
      <x:c r="AE810" s="1"/>
      <x:c r="AF810" s="1"/>
    </x:row>
    <x:row r="811" ht="15.75" customHeight="1">
      <x:c r="A811" s="1"/>
      <x:c r="B811" s="37"/>
      <x:c r="C811" s="38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1"/>
      <x:c r="Y811" s="1"/>
      <x:c r="Z811" s="1"/>
      <x:c r="AA811" s="1"/>
      <x:c r="AB811" s="1"/>
      <x:c r="AC811" s="1"/>
      <x:c r="AD811" s="1"/>
      <x:c r="AE811" s="1"/>
      <x:c r="AF811" s="1"/>
    </x:row>
    <x:row r="812" ht="15.75" customHeight="1">
      <x:c r="A812" s="1"/>
      <x:c r="B812" s="37"/>
      <x:c r="C812" s="38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1"/>
      <x:c r="Y812" s="1"/>
      <x:c r="Z812" s="1"/>
      <x:c r="AA812" s="1"/>
      <x:c r="AB812" s="1"/>
      <x:c r="AC812" s="1"/>
      <x:c r="AD812" s="1"/>
      <x:c r="AE812" s="1"/>
      <x:c r="AF812" s="1"/>
    </x:row>
    <x:row r="813" ht="15.75" customHeight="1">
      <x:c r="A813" s="1"/>
      <x:c r="B813" s="37"/>
      <x:c r="C813" s="38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1"/>
      <x:c r="Y813" s="1"/>
      <x:c r="Z813" s="1"/>
      <x:c r="AA813" s="1"/>
      <x:c r="AB813" s="1"/>
      <x:c r="AC813" s="1"/>
      <x:c r="AD813" s="1"/>
      <x:c r="AE813" s="1"/>
      <x:c r="AF813" s="1"/>
    </x:row>
    <x:row r="814" ht="15.75" customHeight="1">
      <x:c r="A814" s="1"/>
      <x:c r="B814" s="37"/>
      <x:c r="C814" s="38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1"/>
      <x:c r="Y814" s="1"/>
      <x:c r="Z814" s="1"/>
      <x:c r="AA814" s="1"/>
      <x:c r="AB814" s="1"/>
      <x:c r="AC814" s="1"/>
      <x:c r="AD814" s="1"/>
      <x:c r="AE814" s="1"/>
      <x:c r="AF814" s="1"/>
    </x:row>
    <x:row r="815" ht="15.75" customHeight="1">
      <x:c r="A815" s="1"/>
      <x:c r="B815" s="37"/>
      <x:c r="C815" s="38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1"/>
      <x:c r="Y815" s="1"/>
      <x:c r="Z815" s="1"/>
      <x:c r="AA815" s="1"/>
      <x:c r="AB815" s="1"/>
      <x:c r="AC815" s="1"/>
      <x:c r="AD815" s="1"/>
      <x:c r="AE815" s="1"/>
      <x:c r="AF815" s="1"/>
    </x:row>
    <x:row r="816" ht="15.75" customHeight="1">
      <x:c r="A816" s="1"/>
      <x:c r="B816" s="37"/>
      <x:c r="C816" s="38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1"/>
      <x:c r="Y816" s="1"/>
      <x:c r="Z816" s="1"/>
      <x:c r="AA816" s="1"/>
      <x:c r="AB816" s="1"/>
      <x:c r="AC816" s="1"/>
      <x:c r="AD816" s="1"/>
      <x:c r="AE816" s="1"/>
      <x:c r="AF816" s="1"/>
    </x:row>
    <x:row r="817" ht="15.75" customHeight="1">
      <x:c r="A817" s="1"/>
      <x:c r="B817" s="37"/>
      <x:c r="C817" s="38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1"/>
      <x:c r="Y817" s="1"/>
      <x:c r="Z817" s="1"/>
      <x:c r="AA817" s="1"/>
      <x:c r="AB817" s="1"/>
      <x:c r="AC817" s="1"/>
      <x:c r="AD817" s="1"/>
      <x:c r="AE817" s="1"/>
      <x:c r="AF817" s="1"/>
    </x:row>
    <x:row r="818" ht="15.75" customHeight="1">
      <x:c r="A818" s="1"/>
      <x:c r="B818" s="37"/>
      <x:c r="C818" s="38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1"/>
      <x:c r="Y818" s="1"/>
      <x:c r="Z818" s="1"/>
      <x:c r="AA818" s="1"/>
      <x:c r="AB818" s="1"/>
      <x:c r="AC818" s="1"/>
      <x:c r="AD818" s="1"/>
      <x:c r="AE818" s="1"/>
      <x:c r="AF818" s="1"/>
    </x:row>
    <x:row r="819" ht="15.75" customHeight="1">
      <x:c r="A819" s="1"/>
      <x:c r="B819" s="37"/>
      <x:c r="C819" s="38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1"/>
      <x:c r="Y819" s="1"/>
      <x:c r="Z819" s="1"/>
      <x:c r="AA819" s="1"/>
      <x:c r="AB819" s="1"/>
      <x:c r="AC819" s="1"/>
      <x:c r="AD819" s="1"/>
      <x:c r="AE819" s="1"/>
      <x:c r="AF819" s="1"/>
    </x:row>
    <x:row r="820" ht="15.75" customHeight="1">
      <x:c r="A820" s="1"/>
      <x:c r="B820" s="37"/>
      <x:c r="C820" s="38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1"/>
      <x:c r="Y820" s="1"/>
      <x:c r="Z820" s="1"/>
      <x:c r="AA820" s="1"/>
      <x:c r="AB820" s="1"/>
      <x:c r="AC820" s="1"/>
      <x:c r="AD820" s="1"/>
      <x:c r="AE820" s="1"/>
      <x:c r="AF820" s="1"/>
    </x:row>
    <x:row r="821" ht="15.75" customHeight="1">
      <x:c r="A821" s="1"/>
      <x:c r="B821" s="37"/>
      <x:c r="C821" s="38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1"/>
      <x:c r="Y821" s="1"/>
      <x:c r="Z821" s="1"/>
      <x:c r="AA821" s="1"/>
      <x:c r="AB821" s="1"/>
      <x:c r="AC821" s="1"/>
      <x:c r="AD821" s="1"/>
      <x:c r="AE821" s="1"/>
      <x:c r="AF821" s="1"/>
    </x:row>
    <x:row r="822" ht="15.75" customHeight="1">
      <x:c r="A822" s="1"/>
      <x:c r="B822" s="37"/>
      <x:c r="C822" s="38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1"/>
      <x:c r="Y822" s="1"/>
      <x:c r="Z822" s="1"/>
      <x:c r="AA822" s="1"/>
      <x:c r="AB822" s="1"/>
      <x:c r="AC822" s="1"/>
      <x:c r="AD822" s="1"/>
      <x:c r="AE822" s="1"/>
      <x:c r="AF822" s="1"/>
    </x:row>
    <x:row r="823" ht="15.75" customHeight="1">
      <x:c r="A823" s="1"/>
      <x:c r="B823" s="37"/>
      <x:c r="C823" s="38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1"/>
      <x:c r="Y823" s="1"/>
      <x:c r="Z823" s="1"/>
      <x:c r="AA823" s="1"/>
      <x:c r="AB823" s="1"/>
      <x:c r="AC823" s="1"/>
      <x:c r="AD823" s="1"/>
      <x:c r="AE823" s="1"/>
      <x:c r="AF823" s="1"/>
    </x:row>
    <x:row r="824" ht="15.75" customHeight="1">
      <x:c r="A824" s="1"/>
      <x:c r="B824" s="37"/>
      <x:c r="C824" s="38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1"/>
      <x:c r="Y824" s="1"/>
      <x:c r="Z824" s="1"/>
      <x:c r="AA824" s="1"/>
      <x:c r="AB824" s="1"/>
      <x:c r="AC824" s="1"/>
      <x:c r="AD824" s="1"/>
      <x:c r="AE824" s="1"/>
      <x:c r="AF824" s="1"/>
    </x:row>
    <x:row r="825" ht="15.75" customHeight="1">
      <x:c r="A825" s="1"/>
      <x:c r="B825" s="37"/>
      <x:c r="C825" s="38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1"/>
      <x:c r="Y825" s="1"/>
      <x:c r="Z825" s="1"/>
      <x:c r="AA825" s="1"/>
      <x:c r="AB825" s="1"/>
      <x:c r="AC825" s="1"/>
      <x:c r="AD825" s="1"/>
      <x:c r="AE825" s="1"/>
      <x:c r="AF825" s="1"/>
    </x:row>
    <x:row r="826" ht="15.75" customHeight="1">
      <x:c r="A826" s="1"/>
      <x:c r="B826" s="37"/>
      <x:c r="C826" s="38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1"/>
      <x:c r="Y826" s="1"/>
      <x:c r="Z826" s="1"/>
      <x:c r="AA826" s="1"/>
      <x:c r="AB826" s="1"/>
      <x:c r="AC826" s="1"/>
      <x:c r="AD826" s="1"/>
      <x:c r="AE826" s="1"/>
      <x:c r="AF826" s="1"/>
    </x:row>
    <x:row r="827" ht="15.75" customHeight="1">
      <x:c r="A827" s="1"/>
      <x:c r="B827" s="37"/>
      <x:c r="C827" s="38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1"/>
      <x:c r="Y827" s="1"/>
      <x:c r="Z827" s="1"/>
      <x:c r="AA827" s="1"/>
      <x:c r="AB827" s="1"/>
      <x:c r="AC827" s="1"/>
      <x:c r="AD827" s="1"/>
      <x:c r="AE827" s="1"/>
      <x:c r="AF827" s="1"/>
    </x:row>
    <x:row r="828" ht="15.75" customHeight="1">
      <x:c r="A828" s="1"/>
      <x:c r="B828" s="37"/>
      <x:c r="C828" s="38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1"/>
      <x:c r="Y828" s="1"/>
      <x:c r="Z828" s="1"/>
      <x:c r="AA828" s="1"/>
      <x:c r="AB828" s="1"/>
      <x:c r="AC828" s="1"/>
      <x:c r="AD828" s="1"/>
      <x:c r="AE828" s="1"/>
      <x:c r="AF828" s="1"/>
    </x:row>
    <x:row r="829" ht="15.75" customHeight="1">
      <x:c r="A829" s="1"/>
      <x:c r="B829" s="37"/>
      <x:c r="C829" s="38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1"/>
      <x:c r="Y829" s="1"/>
      <x:c r="Z829" s="1"/>
      <x:c r="AA829" s="1"/>
      <x:c r="AB829" s="1"/>
      <x:c r="AC829" s="1"/>
      <x:c r="AD829" s="1"/>
      <x:c r="AE829" s="1"/>
      <x:c r="AF829" s="1"/>
    </x:row>
    <x:row r="830" ht="15.75" customHeight="1">
      <x:c r="A830" s="1"/>
      <x:c r="B830" s="37"/>
      <x:c r="C830" s="38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1"/>
      <x:c r="Y830" s="1"/>
      <x:c r="Z830" s="1"/>
      <x:c r="AA830" s="1"/>
      <x:c r="AB830" s="1"/>
      <x:c r="AC830" s="1"/>
      <x:c r="AD830" s="1"/>
      <x:c r="AE830" s="1"/>
      <x:c r="AF830" s="1"/>
    </x:row>
    <x:row r="831" ht="15.75" customHeight="1">
      <x:c r="A831" s="1"/>
      <x:c r="B831" s="37"/>
      <x:c r="C831" s="38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1"/>
      <x:c r="Y831" s="1"/>
      <x:c r="Z831" s="1"/>
      <x:c r="AA831" s="1"/>
      <x:c r="AB831" s="1"/>
      <x:c r="AC831" s="1"/>
      <x:c r="AD831" s="1"/>
      <x:c r="AE831" s="1"/>
      <x:c r="AF831" s="1"/>
    </x:row>
    <x:row r="832" ht="15.75" customHeight="1">
      <x:c r="A832" s="1"/>
      <x:c r="B832" s="37"/>
      <x:c r="C832" s="38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1"/>
      <x:c r="Y832" s="1"/>
      <x:c r="Z832" s="1"/>
      <x:c r="AA832" s="1"/>
      <x:c r="AB832" s="1"/>
      <x:c r="AC832" s="1"/>
      <x:c r="AD832" s="1"/>
      <x:c r="AE832" s="1"/>
      <x:c r="AF832" s="1"/>
    </x:row>
    <x:row r="833" ht="15.75" customHeight="1">
      <x:c r="A833" s="1"/>
      <x:c r="B833" s="37"/>
      <x:c r="C833" s="38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1"/>
      <x:c r="Y833" s="1"/>
      <x:c r="Z833" s="1"/>
      <x:c r="AA833" s="1"/>
      <x:c r="AB833" s="1"/>
      <x:c r="AC833" s="1"/>
      <x:c r="AD833" s="1"/>
      <x:c r="AE833" s="1"/>
      <x:c r="AF833" s="1"/>
    </x:row>
    <x:row r="834" ht="15.75" customHeight="1">
      <x:c r="A834" s="1"/>
      <x:c r="B834" s="37"/>
      <x:c r="C834" s="38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1"/>
      <x:c r="Y834" s="1"/>
      <x:c r="Z834" s="1"/>
      <x:c r="AA834" s="1"/>
      <x:c r="AB834" s="1"/>
      <x:c r="AC834" s="1"/>
      <x:c r="AD834" s="1"/>
      <x:c r="AE834" s="1"/>
      <x:c r="AF834" s="1"/>
    </x:row>
    <x:row r="835" ht="15.75" customHeight="1">
      <x:c r="A835" s="1"/>
      <x:c r="B835" s="37"/>
      <x:c r="C835" s="38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1"/>
      <x:c r="Y835" s="1"/>
      <x:c r="Z835" s="1"/>
      <x:c r="AA835" s="1"/>
      <x:c r="AB835" s="1"/>
      <x:c r="AC835" s="1"/>
      <x:c r="AD835" s="1"/>
      <x:c r="AE835" s="1"/>
      <x:c r="AF835" s="1"/>
    </x:row>
    <x:row r="836" ht="15.75" customHeight="1">
      <x:c r="A836" s="1"/>
      <x:c r="B836" s="37"/>
      <x:c r="C836" s="38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1"/>
      <x:c r="Y836" s="1"/>
      <x:c r="Z836" s="1"/>
      <x:c r="AA836" s="1"/>
      <x:c r="AB836" s="1"/>
      <x:c r="AC836" s="1"/>
      <x:c r="AD836" s="1"/>
      <x:c r="AE836" s="1"/>
      <x:c r="AF836" s="1"/>
    </x:row>
    <x:row r="837" ht="15.75" customHeight="1">
      <x:c r="A837" s="1"/>
      <x:c r="B837" s="37"/>
      <x:c r="C837" s="38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1"/>
      <x:c r="Y837" s="1"/>
      <x:c r="Z837" s="1"/>
      <x:c r="AA837" s="1"/>
      <x:c r="AB837" s="1"/>
      <x:c r="AC837" s="1"/>
      <x:c r="AD837" s="1"/>
      <x:c r="AE837" s="1"/>
      <x:c r="AF837" s="1"/>
    </x:row>
    <x:row r="838" ht="15.75" customHeight="1">
      <x:c r="A838" s="1"/>
      <x:c r="B838" s="37"/>
      <x:c r="C838" s="38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1"/>
      <x:c r="Y838" s="1"/>
      <x:c r="Z838" s="1"/>
      <x:c r="AA838" s="1"/>
      <x:c r="AB838" s="1"/>
      <x:c r="AC838" s="1"/>
      <x:c r="AD838" s="1"/>
      <x:c r="AE838" s="1"/>
      <x:c r="AF838" s="1"/>
    </x:row>
    <x:row r="839" ht="15.75" customHeight="1">
      <x:c r="A839" s="1"/>
      <x:c r="B839" s="37"/>
      <x:c r="C839" s="38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1"/>
      <x:c r="Y839" s="1"/>
      <x:c r="Z839" s="1"/>
      <x:c r="AA839" s="1"/>
      <x:c r="AB839" s="1"/>
      <x:c r="AC839" s="1"/>
      <x:c r="AD839" s="1"/>
      <x:c r="AE839" s="1"/>
      <x:c r="AF839" s="1"/>
    </x:row>
    <x:row r="840" ht="15.75" customHeight="1">
      <x:c r="A840" s="1"/>
      <x:c r="B840" s="37"/>
      <x:c r="C840" s="38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1"/>
      <x:c r="Y840" s="1"/>
      <x:c r="Z840" s="1"/>
      <x:c r="AA840" s="1"/>
      <x:c r="AB840" s="1"/>
      <x:c r="AC840" s="1"/>
      <x:c r="AD840" s="1"/>
      <x:c r="AE840" s="1"/>
      <x:c r="AF840" s="1"/>
    </x:row>
    <x:row r="841" ht="15.75" customHeight="1">
      <x:c r="A841" s="1"/>
      <x:c r="B841" s="37"/>
      <x:c r="C841" s="38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1"/>
      <x:c r="Y841" s="1"/>
      <x:c r="Z841" s="1"/>
      <x:c r="AA841" s="1"/>
      <x:c r="AB841" s="1"/>
      <x:c r="AC841" s="1"/>
      <x:c r="AD841" s="1"/>
      <x:c r="AE841" s="1"/>
      <x:c r="AF841" s="1"/>
    </x:row>
    <x:row r="842" ht="15.75" customHeight="1">
      <x:c r="A842" s="1"/>
      <x:c r="B842" s="37"/>
      <x:c r="C842" s="38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1"/>
      <x:c r="Y842" s="1"/>
      <x:c r="Z842" s="1"/>
      <x:c r="AA842" s="1"/>
      <x:c r="AB842" s="1"/>
      <x:c r="AC842" s="1"/>
      <x:c r="AD842" s="1"/>
      <x:c r="AE842" s="1"/>
      <x:c r="AF842" s="1"/>
    </x:row>
    <x:row r="843" ht="15.75" customHeight="1">
      <x:c r="A843" s="1"/>
      <x:c r="B843" s="37"/>
      <x:c r="C843" s="38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1"/>
      <x:c r="Y843" s="1"/>
      <x:c r="Z843" s="1"/>
      <x:c r="AA843" s="1"/>
      <x:c r="AB843" s="1"/>
      <x:c r="AC843" s="1"/>
      <x:c r="AD843" s="1"/>
      <x:c r="AE843" s="1"/>
      <x:c r="AF843" s="1"/>
    </x:row>
    <x:row r="844" ht="15.75" customHeight="1">
      <x:c r="A844" s="1"/>
      <x:c r="B844" s="37"/>
      <x:c r="C844" s="38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1"/>
      <x:c r="Y844" s="1"/>
      <x:c r="Z844" s="1"/>
      <x:c r="AA844" s="1"/>
      <x:c r="AB844" s="1"/>
      <x:c r="AC844" s="1"/>
      <x:c r="AD844" s="1"/>
      <x:c r="AE844" s="1"/>
      <x:c r="AF844" s="1"/>
    </x:row>
    <x:row r="845" ht="15.75" customHeight="1">
      <x:c r="A845" s="1"/>
      <x:c r="B845" s="37"/>
      <x:c r="C845" s="38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1"/>
      <x:c r="Y845" s="1"/>
      <x:c r="Z845" s="1"/>
      <x:c r="AA845" s="1"/>
      <x:c r="AB845" s="1"/>
      <x:c r="AC845" s="1"/>
      <x:c r="AD845" s="1"/>
      <x:c r="AE845" s="1"/>
      <x:c r="AF845" s="1"/>
    </x:row>
    <x:row r="846" ht="15.75" customHeight="1">
      <x:c r="A846" s="1"/>
      <x:c r="B846" s="37"/>
      <x:c r="C846" s="38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1"/>
      <x:c r="Y846" s="1"/>
      <x:c r="Z846" s="1"/>
      <x:c r="AA846" s="1"/>
      <x:c r="AB846" s="1"/>
      <x:c r="AC846" s="1"/>
      <x:c r="AD846" s="1"/>
      <x:c r="AE846" s="1"/>
      <x:c r="AF846" s="1"/>
    </x:row>
    <x:row r="847" ht="15.75" customHeight="1">
      <x:c r="A847" s="1"/>
      <x:c r="B847" s="37"/>
      <x:c r="C847" s="38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1"/>
      <x:c r="Y847" s="1"/>
      <x:c r="Z847" s="1"/>
      <x:c r="AA847" s="1"/>
      <x:c r="AB847" s="1"/>
      <x:c r="AC847" s="1"/>
      <x:c r="AD847" s="1"/>
      <x:c r="AE847" s="1"/>
      <x:c r="AF847" s="1"/>
    </x:row>
    <x:row r="848" ht="15.75" customHeight="1">
      <x:c r="A848" s="1"/>
      <x:c r="B848" s="37"/>
      <x:c r="C848" s="38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1"/>
      <x:c r="Y848" s="1"/>
      <x:c r="Z848" s="1"/>
      <x:c r="AA848" s="1"/>
      <x:c r="AB848" s="1"/>
      <x:c r="AC848" s="1"/>
      <x:c r="AD848" s="1"/>
      <x:c r="AE848" s="1"/>
      <x:c r="AF848" s="1"/>
    </x:row>
    <x:row r="849" ht="15.75" customHeight="1">
      <x:c r="A849" s="1"/>
      <x:c r="B849" s="37"/>
      <x:c r="C849" s="38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1"/>
      <x:c r="Y849" s="1"/>
      <x:c r="Z849" s="1"/>
      <x:c r="AA849" s="1"/>
      <x:c r="AB849" s="1"/>
      <x:c r="AC849" s="1"/>
      <x:c r="AD849" s="1"/>
      <x:c r="AE849" s="1"/>
      <x:c r="AF849" s="1"/>
    </x:row>
    <x:row r="850" ht="15.75" customHeight="1">
      <x:c r="A850" s="1"/>
      <x:c r="B850" s="37"/>
      <x:c r="C850" s="38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1"/>
      <x:c r="Y850" s="1"/>
      <x:c r="Z850" s="1"/>
      <x:c r="AA850" s="1"/>
      <x:c r="AB850" s="1"/>
      <x:c r="AC850" s="1"/>
      <x:c r="AD850" s="1"/>
      <x:c r="AE850" s="1"/>
      <x:c r="AF850" s="1"/>
    </x:row>
    <x:row r="851" ht="15.75" customHeight="1">
      <x:c r="A851" s="1"/>
      <x:c r="B851" s="37"/>
      <x:c r="C851" s="38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1"/>
      <x:c r="Y851" s="1"/>
      <x:c r="Z851" s="1"/>
      <x:c r="AA851" s="1"/>
      <x:c r="AB851" s="1"/>
      <x:c r="AC851" s="1"/>
      <x:c r="AD851" s="1"/>
      <x:c r="AE851" s="1"/>
      <x:c r="AF851" s="1"/>
    </x:row>
    <x:row r="852" ht="15.75" customHeight="1">
      <x:c r="A852" s="1"/>
      <x:c r="B852" s="37"/>
      <x:c r="C852" s="38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1"/>
      <x:c r="Y852" s="1"/>
      <x:c r="Z852" s="1"/>
      <x:c r="AA852" s="1"/>
      <x:c r="AB852" s="1"/>
      <x:c r="AC852" s="1"/>
      <x:c r="AD852" s="1"/>
      <x:c r="AE852" s="1"/>
      <x:c r="AF852" s="1"/>
    </x:row>
    <x:row r="853" ht="15.75" customHeight="1">
      <x:c r="A853" s="1"/>
      <x:c r="B853" s="37"/>
      <x:c r="C853" s="38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1"/>
      <x:c r="Y853" s="1"/>
      <x:c r="Z853" s="1"/>
      <x:c r="AA853" s="1"/>
      <x:c r="AB853" s="1"/>
      <x:c r="AC853" s="1"/>
      <x:c r="AD853" s="1"/>
      <x:c r="AE853" s="1"/>
      <x:c r="AF853" s="1"/>
    </x:row>
    <x:row r="854" ht="15.75" customHeight="1">
      <x:c r="A854" s="1"/>
      <x:c r="B854" s="37"/>
      <x:c r="C854" s="38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1"/>
      <x:c r="Y854" s="1"/>
      <x:c r="Z854" s="1"/>
      <x:c r="AA854" s="1"/>
      <x:c r="AB854" s="1"/>
      <x:c r="AC854" s="1"/>
      <x:c r="AD854" s="1"/>
      <x:c r="AE854" s="1"/>
      <x:c r="AF854" s="1"/>
    </x:row>
    <x:row r="855" ht="15.75" customHeight="1">
      <x:c r="A855" s="1"/>
      <x:c r="B855" s="37"/>
      <x:c r="C855" s="38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1"/>
      <x:c r="Y855" s="1"/>
      <x:c r="Z855" s="1"/>
      <x:c r="AA855" s="1"/>
      <x:c r="AB855" s="1"/>
      <x:c r="AC855" s="1"/>
      <x:c r="AD855" s="1"/>
      <x:c r="AE855" s="1"/>
      <x:c r="AF855" s="1"/>
    </x:row>
    <x:row r="856" ht="15.75" customHeight="1">
      <x:c r="A856" s="1"/>
      <x:c r="B856" s="37"/>
      <x:c r="C856" s="38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1"/>
      <x:c r="Y856" s="1"/>
      <x:c r="Z856" s="1"/>
      <x:c r="AA856" s="1"/>
      <x:c r="AB856" s="1"/>
      <x:c r="AC856" s="1"/>
      <x:c r="AD856" s="1"/>
      <x:c r="AE856" s="1"/>
      <x:c r="AF856" s="1"/>
    </x:row>
    <x:row r="857" ht="15.75" customHeight="1">
      <x:c r="A857" s="1"/>
      <x:c r="B857" s="37"/>
      <x:c r="C857" s="38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1"/>
      <x:c r="Y857" s="1"/>
      <x:c r="Z857" s="1"/>
      <x:c r="AA857" s="1"/>
      <x:c r="AB857" s="1"/>
      <x:c r="AC857" s="1"/>
      <x:c r="AD857" s="1"/>
      <x:c r="AE857" s="1"/>
      <x:c r="AF857" s="1"/>
    </x:row>
    <x:row r="858" ht="15.75" customHeight="1">
      <x:c r="A858" s="1"/>
      <x:c r="B858" s="37"/>
      <x:c r="C858" s="38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1"/>
      <x:c r="Y858" s="1"/>
      <x:c r="Z858" s="1"/>
      <x:c r="AA858" s="1"/>
      <x:c r="AB858" s="1"/>
      <x:c r="AC858" s="1"/>
      <x:c r="AD858" s="1"/>
      <x:c r="AE858" s="1"/>
      <x:c r="AF858" s="1"/>
    </x:row>
    <x:row r="859" ht="15.75" customHeight="1">
      <x:c r="A859" s="1"/>
      <x:c r="B859" s="37"/>
      <x:c r="C859" s="38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1"/>
      <x:c r="Y859" s="1"/>
      <x:c r="Z859" s="1"/>
      <x:c r="AA859" s="1"/>
      <x:c r="AB859" s="1"/>
      <x:c r="AC859" s="1"/>
      <x:c r="AD859" s="1"/>
      <x:c r="AE859" s="1"/>
      <x:c r="AF859" s="1"/>
    </x:row>
    <x:row r="860" ht="15.75" customHeight="1">
      <x:c r="A860" s="1"/>
      <x:c r="B860" s="37"/>
      <x:c r="C860" s="38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1"/>
      <x:c r="Y860" s="1"/>
      <x:c r="Z860" s="1"/>
      <x:c r="AA860" s="1"/>
      <x:c r="AB860" s="1"/>
      <x:c r="AC860" s="1"/>
      <x:c r="AD860" s="1"/>
      <x:c r="AE860" s="1"/>
      <x:c r="AF860" s="1"/>
    </x:row>
    <x:row r="861" ht="15.75" customHeight="1">
      <x:c r="A861" s="1"/>
      <x:c r="B861" s="37"/>
      <x:c r="C861" s="38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1"/>
      <x:c r="Y861" s="1"/>
      <x:c r="Z861" s="1"/>
      <x:c r="AA861" s="1"/>
      <x:c r="AB861" s="1"/>
      <x:c r="AC861" s="1"/>
      <x:c r="AD861" s="1"/>
      <x:c r="AE861" s="1"/>
      <x:c r="AF861" s="1"/>
    </x:row>
    <x:row r="862" ht="15.75" customHeight="1">
      <x:c r="A862" s="1"/>
      <x:c r="B862" s="37"/>
      <x:c r="C862" s="38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1"/>
      <x:c r="Y862" s="1"/>
      <x:c r="Z862" s="1"/>
      <x:c r="AA862" s="1"/>
      <x:c r="AB862" s="1"/>
      <x:c r="AC862" s="1"/>
      <x:c r="AD862" s="1"/>
      <x:c r="AE862" s="1"/>
      <x:c r="AF862" s="1"/>
    </x:row>
    <x:row r="863" ht="15.75" customHeight="1">
      <x:c r="A863" s="1"/>
      <x:c r="B863" s="37"/>
      <x:c r="C863" s="38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1"/>
      <x:c r="Y863" s="1"/>
      <x:c r="Z863" s="1"/>
      <x:c r="AA863" s="1"/>
      <x:c r="AB863" s="1"/>
      <x:c r="AC863" s="1"/>
      <x:c r="AD863" s="1"/>
      <x:c r="AE863" s="1"/>
      <x:c r="AF863" s="1"/>
    </x:row>
    <x:row r="864" ht="15.75" customHeight="1">
      <x:c r="A864" s="1"/>
      <x:c r="B864" s="37"/>
      <x:c r="C864" s="38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1"/>
      <x:c r="Y864" s="1"/>
      <x:c r="Z864" s="1"/>
      <x:c r="AA864" s="1"/>
      <x:c r="AB864" s="1"/>
      <x:c r="AC864" s="1"/>
      <x:c r="AD864" s="1"/>
      <x:c r="AE864" s="1"/>
      <x:c r="AF864" s="1"/>
    </x:row>
    <x:row r="865" ht="15.75" customHeight="1">
      <x:c r="A865" s="1"/>
      <x:c r="B865" s="37"/>
      <x:c r="C865" s="38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1"/>
      <x:c r="Y865" s="1"/>
      <x:c r="Z865" s="1"/>
      <x:c r="AA865" s="1"/>
      <x:c r="AB865" s="1"/>
      <x:c r="AC865" s="1"/>
      <x:c r="AD865" s="1"/>
      <x:c r="AE865" s="1"/>
      <x:c r="AF865" s="1"/>
    </x:row>
    <x:row r="866" ht="15.75" customHeight="1">
      <x:c r="A866" s="1"/>
      <x:c r="B866" s="37"/>
      <x:c r="C866" s="38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1"/>
      <x:c r="Y866" s="1"/>
      <x:c r="Z866" s="1"/>
      <x:c r="AA866" s="1"/>
      <x:c r="AB866" s="1"/>
      <x:c r="AC866" s="1"/>
      <x:c r="AD866" s="1"/>
      <x:c r="AE866" s="1"/>
      <x:c r="AF866" s="1"/>
    </x:row>
    <x:row r="867" ht="15.75" customHeight="1">
      <x:c r="A867" s="1"/>
      <x:c r="B867" s="37"/>
      <x:c r="C867" s="38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1"/>
      <x:c r="Y867" s="1"/>
      <x:c r="Z867" s="1"/>
      <x:c r="AA867" s="1"/>
      <x:c r="AB867" s="1"/>
      <x:c r="AC867" s="1"/>
      <x:c r="AD867" s="1"/>
      <x:c r="AE867" s="1"/>
      <x:c r="AF867" s="1"/>
    </x:row>
    <x:row r="868" ht="15.75" customHeight="1">
      <x:c r="A868" s="1"/>
      <x:c r="B868" s="37"/>
      <x:c r="C868" s="38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1"/>
      <x:c r="Y868" s="1"/>
      <x:c r="Z868" s="1"/>
      <x:c r="AA868" s="1"/>
      <x:c r="AB868" s="1"/>
      <x:c r="AC868" s="1"/>
      <x:c r="AD868" s="1"/>
      <x:c r="AE868" s="1"/>
      <x:c r="AF868" s="1"/>
    </x:row>
    <x:row r="869" ht="15.75" customHeight="1">
      <x:c r="A869" s="1"/>
      <x:c r="B869" s="37"/>
      <x:c r="C869" s="38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1"/>
      <x:c r="Y869" s="1"/>
      <x:c r="Z869" s="1"/>
      <x:c r="AA869" s="1"/>
      <x:c r="AB869" s="1"/>
      <x:c r="AC869" s="1"/>
      <x:c r="AD869" s="1"/>
      <x:c r="AE869" s="1"/>
      <x:c r="AF869" s="1"/>
    </x:row>
    <x:row r="870" ht="15.75" customHeight="1">
      <x:c r="A870" s="1"/>
      <x:c r="B870" s="37"/>
      <x:c r="C870" s="38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1"/>
      <x:c r="Y870" s="1"/>
      <x:c r="Z870" s="1"/>
      <x:c r="AA870" s="1"/>
      <x:c r="AB870" s="1"/>
      <x:c r="AC870" s="1"/>
      <x:c r="AD870" s="1"/>
      <x:c r="AE870" s="1"/>
      <x:c r="AF870" s="1"/>
    </x:row>
    <x:row r="871" ht="15.75" customHeight="1">
      <x:c r="A871" s="1"/>
      <x:c r="B871" s="37"/>
      <x:c r="C871" s="38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1"/>
      <x:c r="Y871" s="1"/>
      <x:c r="Z871" s="1"/>
      <x:c r="AA871" s="1"/>
      <x:c r="AB871" s="1"/>
      <x:c r="AC871" s="1"/>
      <x:c r="AD871" s="1"/>
      <x:c r="AE871" s="1"/>
      <x:c r="AF871" s="1"/>
    </x:row>
    <x:row r="872" ht="15.75" customHeight="1">
      <x:c r="A872" s="1"/>
      <x:c r="B872" s="37"/>
      <x:c r="C872" s="38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1"/>
      <x:c r="Y872" s="1"/>
      <x:c r="Z872" s="1"/>
      <x:c r="AA872" s="1"/>
      <x:c r="AB872" s="1"/>
      <x:c r="AC872" s="1"/>
      <x:c r="AD872" s="1"/>
      <x:c r="AE872" s="1"/>
      <x:c r="AF872" s="1"/>
    </x:row>
    <x:row r="873" ht="15.75" customHeight="1">
      <x:c r="A873" s="1"/>
      <x:c r="B873" s="37"/>
      <x:c r="C873" s="38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1"/>
      <x:c r="Y873" s="1"/>
      <x:c r="Z873" s="1"/>
      <x:c r="AA873" s="1"/>
      <x:c r="AB873" s="1"/>
      <x:c r="AC873" s="1"/>
      <x:c r="AD873" s="1"/>
      <x:c r="AE873" s="1"/>
      <x:c r="AF873" s="1"/>
    </x:row>
    <x:row r="874" ht="15.75" customHeight="1">
      <x:c r="A874" s="1"/>
      <x:c r="B874" s="37"/>
      <x:c r="C874" s="38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1"/>
      <x:c r="Y874" s="1"/>
      <x:c r="Z874" s="1"/>
      <x:c r="AA874" s="1"/>
      <x:c r="AB874" s="1"/>
      <x:c r="AC874" s="1"/>
      <x:c r="AD874" s="1"/>
      <x:c r="AE874" s="1"/>
      <x:c r="AF874" s="1"/>
    </x:row>
    <x:row r="875" ht="15.75" customHeight="1">
      <x:c r="A875" s="1"/>
      <x:c r="B875" s="37"/>
      <x:c r="C875" s="38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1"/>
      <x:c r="Y875" s="1"/>
      <x:c r="Z875" s="1"/>
      <x:c r="AA875" s="1"/>
      <x:c r="AB875" s="1"/>
      <x:c r="AC875" s="1"/>
      <x:c r="AD875" s="1"/>
      <x:c r="AE875" s="1"/>
      <x:c r="AF875" s="1"/>
    </x:row>
    <x:row r="876" ht="15.75" customHeight="1">
      <x:c r="A876" s="1"/>
      <x:c r="B876" s="37"/>
      <x:c r="C876" s="38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1"/>
      <x:c r="Y876" s="1"/>
      <x:c r="Z876" s="1"/>
      <x:c r="AA876" s="1"/>
      <x:c r="AB876" s="1"/>
      <x:c r="AC876" s="1"/>
      <x:c r="AD876" s="1"/>
      <x:c r="AE876" s="1"/>
      <x:c r="AF876" s="1"/>
    </x:row>
    <x:row r="877" ht="15.75" customHeight="1">
      <x:c r="A877" s="1"/>
      <x:c r="B877" s="37"/>
      <x:c r="C877" s="38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1"/>
      <x:c r="Y877" s="1"/>
      <x:c r="Z877" s="1"/>
      <x:c r="AA877" s="1"/>
      <x:c r="AB877" s="1"/>
      <x:c r="AC877" s="1"/>
      <x:c r="AD877" s="1"/>
      <x:c r="AE877" s="1"/>
      <x:c r="AF877" s="1"/>
    </x:row>
    <x:row r="878" ht="15.75" customHeight="1">
      <x:c r="A878" s="1"/>
      <x:c r="B878" s="37"/>
      <x:c r="C878" s="38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1"/>
      <x:c r="Y878" s="1"/>
      <x:c r="Z878" s="1"/>
      <x:c r="AA878" s="1"/>
      <x:c r="AB878" s="1"/>
      <x:c r="AC878" s="1"/>
      <x:c r="AD878" s="1"/>
      <x:c r="AE878" s="1"/>
      <x:c r="AF878" s="1"/>
    </x:row>
    <x:row r="879" ht="15.75" customHeight="1">
      <x:c r="A879" s="1"/>
      <x:c r="B879" s="37"/>
      <x:c r="C879" s="38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1"/>
      <x:c r="Y879" s="1"/>
      <x:c r="Z879" s="1"/>
      <x:c r="AA879" s="1"/>
      <x:c r="AB879" s="1"/>
      <x:c r="AC879" s="1"/>
      <x:c r="AD879" s="1"/>
      <x:c r="AE879" s="1"/>
      <x:c r="AF879" s="1"/>
    </x:row>
    <x:row r="880" ht="15.75" customHeight="1">
      <x:c r="A880" s="1"/>
      <x:c r="B880" s="37"/>
      <x:c r="C880" s="38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1"/>
      <x:c r="Y880" s="1"/>
      <x:c r="Z880" s="1"/>
      <x:c r="AA880" s="1"/>
      <x:c r="AB880" s="1"/>
      <x:c r="AC880" s="1"/>
      <x:c r="AD880" s="1"/>
      <x:c r="AE880" s="1"/>
      <x:c r="AF880" s="1"/>
    </x:row>
    <x:row r="881" ht="15.75" customHeight="1">
      <x:c r="A881" s="1"/>
      <x:c r="B881" s="37"/>
      <x:c r="C881" s="38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1"/>
      <x:c r="Y881" s="1"/>
      <x:c r="Z881" s="1"/>
      <x:c r="AA881" s="1"/>
      <x:c r="AB881" s="1"/>
      <x:c r="AC881" s="1"/>
      <x:c r="AD881" s="1"/>
      <x:c r="AE881" s="1"/>
      <x:c r="AF881" s="1"/>
    </x:row>
    <x:row r="882" ht="15.75" customHeight="1">
      <x:c r="A882" s="1"/>
      <x:c r="B882" s="37"/>
      <x:c r="C882" s="38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1"/>
      <x:c r="Y882" s="1"/>
      <x:c r="Z882" s="1"/>
      <x:c r="AA882" s="1"/>
      <x:c r="AB882" s="1"/>
      <x:c r="AC882" s="1"/>
      <x:c r="AD882" s="1"/>
      <x:c r="AE882" s="1"/>
      <x:c r="AF882" s="1"/>
    </x:row>
    <x:row r="883" ht="15.75" customHeight="1">
      <x:c r="A883" s="1"/>
      <x:c r="B883" s="37"/>
      <x:c r="C883" s="38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1"/>
      <x:c r="Y883" s="1"/>
      <x:c r="Z883" s="1"/>
      <x:c r="AA883" s="1"/>
      <x:c r="AB883" s="1"/>
      <x:c r="AC883" s="1"/>
      <x:c r="AD883" s="1"/>
      <x:c r="AE883" s="1"/>
      <x:c r="AF883" s="1"/>
    </x:row>
    <x:row r="884" ht="15.75" customHeight="1">
      <x:c r="A884" s="1"/>
      <x:c r="B884" s="37"/>
      <x:c r="C884" s="38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1"/>
      <x:c r="Y884" s="1"/>
      <x:c r="Z884" s="1"/>
      <x:c r="AA884" s="1"/>
      <x:c r="AB884" s="1"/>
      <x:c r="AC884" s="1"/>
      <x:c r="AD884" s="1"/>
      <x:c r="AE884" s="1"/>
      <x:c r="AF884" s="1"/>
    </x:row>
    <x:row r="885" ht="15.75" customHeight="1">
      <x:c r="A885" s="1"/>
      <x:c r="B885" s="37"/>
      <x:c r="C885" s="38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1"/>
      <x:c r="Y885" s="1"/>
      <x:c r="Z885" s="1"/>
      <x:c r="AA885" s="1"/>
      <x:c r="AB885" s="1"/>
      <x:c r="AC885" s="1"/>
      <x:c r="AD885" s="1"/>
      <x:c r="AE885" s="1"/>
      <x:c r="AF885" s="1"/>
    </x:row>
    <x:row r="886" ht="15.75" customHeight="1">
      <x:c r="A886" s="1"/>
      <x:c r="B886" s="37"/>
      <x:c r="C886" s="38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1"/>
      <x:c r="Y886" s="1"/>
      <x:c r="Z886" s="1"/>
      <x:c r="AA886" s="1"/>
      <x:c r="AB886" s="1"/>
      <x:c r="AC886" s="1"/>
      <x:c r="AD886" s="1"/>
      <x:c r="AE886" s="1"/>
      <x:c r="AF886" s="1"/>
    </x:row>
    <x:row r="887" ht="15.75" customHeight="1">
      <x:c r="A887" s="1"/>
      <x:c r="B887" s="37"/>
      <x:c r="C887" s="38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1"/>
      <x:c r="Y887" s="1"/>
      <x:c r="Z887" s="1"/>
      <x:c r="AA887" s="1"/>
      <x:c r="AB887" s="1"/>
      <x:c r="AC887" s="1"/>
      <x:c r="AD887" s="1"/>
      <x:c r="AE887" s="1"/>
      <x:c r="AF887" s="1"/>
    </x:row>
    <x:row r="888" ht="15.75" customHeight="1">
      <x:c r="A888" s="1"/>
      <x:c r="B888" s="37"/>
      <x:c r="C888" s="38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1"/>
      <x:c r="Y888" s="1"/>
      <x:c r="Z888" s="1"/>
      <x:c r="AA888" s="1"/>
      <x:c r="AB888" s="1"/>
      <x:c r="AC888" s="1"/>
      <x:c r="AD888" s="1"/>
      <x:c r="AE888" s="1"/>
      <x:c r="AF888" s="1"/>
    </x:row>
    <x:row r="889" ht="15.75" customHeight="1">
      <x:c r="A889" s="1"/>
      <x:c r="B889" s="37"/>
      <x:c r="C889" s="38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1"/>
      <x:c r="Y889" s="1"/>
      <x:c r="Z889" s="1"/>
      <x:c r="AA889" s="1"/>
      <x:c r="AB889" s="1"/>
      <x:c r="AC889" s="1"/>
      <x:c r="AD889" s="1"/>
      <x:c r="AE889" s="1"/>
      <x:c r="AF889" s="1"/>
    </x:row>
    <x:row r="890" ht="15.75" customHeight="1">
      <x:c r="A890" s="1"/>
      <x:c r="B890" s="37"/>
      <x:c r="C890" s="38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1"/>
      <x:c r="Y890" s="1"/>
      <x:c r="Z890" s="1"/>
      <x:c r="AA890" s="1"/>
      <x:c r="AB890" s="1"/>
      <x:c r="AC890" s="1"/>
      <x:c r="AD890" s="1"/>
      <x:c r="AE890" s="1"/>
      <x:c r="AF890" s="1"/>
    </x:row>
    <x:row r="891" ht="15.75" customHeight="1">
      <x:c r="A891" s="1"/>
      <x:c r="B891" s="37"/>
      <x:c r="C891" s="38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1"/>
      <x:c r="Y891" s="1"/>
      <x:c r="Z891" s="1"/>
      <x:c r="AA891" s="1"/>
      <x:c r="AB891" s="1"/>
      <x:c r="AC891" s="1"/>
      <x:c r="AD891" s="1"/>
      <x:c r="AE891" s="1"/>
      <x:c r="AF891" s="1"/>
    </x:row>
    <x:row r="892" ht="15.75" customHeight="1">
      <x:c r="A892" s="1"/>
      <x:c r="B892" s="37"/>
      <x:c r="C892" s="38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1"/>
      <x:c r="Y892" s="1"/>
      <x:c r="Z892" s="1"/>
      <x:c r="AA892" s="1"/>
      <x:c r="AB892" s="1"/>
      <x:c r="AC892" s="1"/>
      <x:c r="AD892" s="1"/>
      <x:c r="AE892" s="1"/>
      <x:c r="AF892" s="1"/>
    </x:row>
    <x:row r="893" ht="15.75" customHeight="1">
      <x:c r="A893" s="1"/>
      <x:c r="B893" s="37"/>
      <x:c r="C893" s="38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1"/>
      <x:c r="Y893" s="1"/>
      <x:c r="Z893" s="1"/>
      <x:c r="AA893" s="1"/>
      <x:c r="AB893" s="1"/>
      <x:c r="AC893" s="1"/>
      <x:c r="AD893" s="1"/>
      <x:c r="AE893" s="1"/>
      <x:c r="AF893" s="1"/>
    </x:row>
    <x:row r="894" ht="15.75" customHeight="1">
      <x:c r="A894" s="1"/>
      <x:c r="B894" s="37"/>
      <x:c r="C894" s="38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1"/>
      <x:c r="Y894" s="1"/>
      <x:c r="Z894" s="1"/>
      <x:c r="AA894" s="1"/>
      <x:c r="AB894" s="1"/>
      <x:c r="AC894" s="1"/>
      <x:c r="AD894" s="1"/>
      <x:c r="AE894" s="1"/>
      <x:c r="AF894" s="1"/>
    </x:row>
    <x:row r="895" ht="15.75" customHeight="1">
      <x:c r="A895" s="1"/>
      <x:c r="B895" s="37"/>
      <x:c r="C895" s="38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1"/>
      <x:c r="Y895" s="1"/>
      <x:c r="Z895" s="1"/>
      <x:c r="AA895" s="1"/>
      <x:c r="AB895" s="1"/>
      <x:c r="AC895" s="1"/>
      <x:c r="AD895" s="1"/>
      <x:c r="AE895" s="1"/>
      <x:c r="AF895" s="1"/>
    </x:row>
    <x:row r="896" ht="15.75" customHeight="1">
      <x:c r="A896" s="1"/>
      <x:c r="B896" s="37"/>
      <x:c r="C896" s="38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1"/>
      <x:c r="Y896" s="1"/>
      <x:c r="Z896" s="1"/>
      <x:c r="AA896" s="1"/>
      <x:c r="AB896" s="1"/>
      <x:c r="AC896" s="1"/>
      <x:c r="AD896" s="1"/>
      <x:c r="AE896" s="1"/>
      <x:c r="AF896" s="1"/>
    </x:row>
    <x:row r="897" ht="15.75" customHeight="1">
      <x:c r="A897" s="1"/>
      <x:c r="B897" s="37"/>
      <x:c r="C897" s="38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1"/>
      <x:c r="Y897" s="1"/>
      <x:c r="Z897" s="1"/>
      <x:c r="AA897" s="1"/>
      <x:c r="AB897" s="1"/>
      <x:c r="AC897" s="1"/>
      <x:c r="AD897" s="1"/>
      <x:c r="AE897" s="1"/>
      <x:c r="AF897" s="1"/>
    </x:row>
    <x:row r="898" ht="15.75" customHeight="1">
      <x:c r="A898" s="1"/>
      <x:c r="B898" s="37"/>
      <x:c r="C898" s="38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1"/>
      <x:c r="Y898" s="1"/>
      <x:c r="Z898" s="1"/>
      <x:c r="AA898" s="1"/>
      <x:c r="AB898" s="1"/>
      <x:c r="AC898" s="1"/>
      <x:c r="AD898" s="1"/>
      <x:c r="AE898" s="1"/>
      <x:c r="AF898" s="1"/>
    </x:row>
    <x:row r="899" ht="15.75" customHeight="1">
      <x:c r="A899" s="1"/>
      <x:c r="B899" s="37"/>
      <x:c r="C899" s="38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1"/>
      <x:c r="Y899" s="1"/>
      <x:c r="Z899" s="1"/>
      <x:c r="AA899" s="1"/>
      <x:c r="AB899" s="1"/>
      <x:c r="AC899" s="1"/>
      <x:c r="AD899" s="1"/>
      <x:c r="AE899" s="1"/>
      <x:c r="AF899" s="1"/>
    </x:row>
    <x:row r="900" ht="15.75" customHeight="1">
      <x:c r="A900" s="1"/>
      <x:c r="B900" s="37"/>
      <x:c r="C900" s="38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1"/>
      <x:c r="Y900" s="1"/>
      <x:c r="Z900" s="1"/>
      <x:c r="AA900" s="1"/>
      <x:c r="AB900" s="1"/>
      <x:c r="AC900" s="1"/>
      <x:c r="AD900" s="1"/>
      <x:c r="AE900" s="1"/>
      <x:c r="AF900" s="1"/>
    </x:row>
    <x:row r="901" ht="15.75" customHeight="1">
      <x:c r="A901" s="1"/>
      <x:c r="B901" s="37"/>
      <x:c r="C901" s="38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1"/>
      <x:c r="Y901" s="1"/>
      <x:c r="Z901" s="1"/>
      <x:c r="AA901" s="1"/>
      <x:c r="AB901" s="1"/>
      <x:c r="AC901" s="1"/>
      <x:c r="AD901" s="1"/>
      <x:c r="AE901" s="1"/>
      <x:c r="AF901" s="1"/>
    </x:row>
    <x:row r="902" ht="15.75" customHeight="1">
      <x:c r="A902" s="1"/>
      <x:c r="B902" s="37"/>
      <x:c r="C902" s="38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1"/>
      <x:c r="Y902" s="1"/>
      <x:c r="Z902" s="1"/>
      <x:c r="AA902" s="1"/>
      <x:c r="AB902" s="1"/>
      <x:c r="AC902" s="1"/>
      <x:c r="AD902" s="1"/>
      <x:c r="AE902" s="1"/>
      <x:c r="AF902" s="1"/>
    </x:row>
    <x:row r="903" ht="15.75" customHeight="1">
      <x:c r="A903" s="1"/>
      <x:c r="B903" s="37"/>
      <x:c r="C903" s="38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1"/>
      <x:c r="Y903" s="1"/>
      <x:c r="Z903" s="1"/>
      <x:c r="AA903" s="1"/>
      <x:c r="AB903" s="1"/>
      <x:c r="AC903" s="1"/>
      <x:c r="AD903" s="1"/>
      <x:c r="AE903" s="1"/>
      <x:c r="AF903" s="1"/>
    </x:row>
    <x:row r="904" ht="15.75" customHeight="1">
      <x:c r="A904" s="1"/>
      <x:c r="B904" s="37"/>
      <x:c r="C904" s="38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1"/>
      <x:c r="Y904" s="1"/>
      <x:c r="Z904" s="1"/>
      <x:c r="AA904" s="1"/>
      <x:c r="AB904" s="1"/>
      <x:c r="AC904" s="1"/>
      <x:c r="AD904" s="1"/>
      <x:c r="AE904" s="1"/>
      <x:c r="AF904" s="1"/>
    </x:row>
    <x:row r="905" ht="15.75" customHeight="1">
      <x:c r="A905" s="1"/>
      <x:c r="B905" s="37"/>
      <x:c r="C905" s="38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1"/>
      <x:c r="Y905" s="1"/>
      <x:c r="Z905" s="1"/>
      <x:c r="AA905" s="1"/>
      <x:c r="AB905" s="1"/>
      <x:c r="AC905" s="1"/>
      <x:c r="AD905" s="1"/>
      <x:c r="AE905" s="1"/>
      <x:c r="AF905" s="1"/>
    </x:row>
    <x:row r="906" ht="15.75" customHeight="1">
      <x:c r="A906" s="1"/>
      <x:c r="B906" s="37"/>
      <x:c r="C906" s="38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1"/>
      <x:c r="Y906" s="1"/>
      <x:c r="Z906" s="1"/>
      <x:c r="AA906" s="1"/>
      <x:c r="AB906" s="1"/>
      <x:c r="AC906" s="1"/>
      <x:c r="AD906" s="1"/>
      <x:c r="AE906" s="1"/>
      <x:c r="AF906" s="1"/>
    </x:row>
    <x:row r="907" ht="15.75" customHeight="1">
      <x:c r="A907" s="1"/>
      <x:c r="B907" s="37"/>
      <x:c r="C907" s="38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1"/>
      <x:c r="Y907" s="1"/>
      <x:c r="Z907" s="1"/>
      <x:c r="AA907" s="1"/>
      <x:c r="AB907" s="1"/>
      <x:c r="AC907" s="1"/>
      <x:c r="AD907" s="1"/>
      <x:c r="AE907" s="1"/>
      <x:c r="AF907" s="1"/>
    </x:row>
    <x:row r="908" ht="15.75" customHeight="1">
      <x:c r="A908" s="1"/>
      <x:c r="B908" s="37"/>
      <x:c r="C908" s="38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1"/>
      <x:c r="Y908" s="1"/>
      <x:c r="Z908" s="1"/>
      <x:c r="AA908" s="1"/>
      <x:c r="AB908" s="1"/>
      <x:c r="AC908" s="1"/>
      <x:c r="AD908" s="1"/>
      <x:c r="AE908" s="1"/>
      <x:c r="AF908" s="1"/>
    </x:row>
    <x:row r="909" ht="15.75" customHeight="1">
      <x:c r="A909" s="1"/>
      <x:c r="B909" s="37"/>
      <x:c r="C909" s="38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1"/>
      <x:c r="Y909" s="1"/>
      <x:c r="Z909" s="1"/>
      <x:c r="AA909" s="1"/>
      <x:c r="AB909" s="1"/>
      <x:c r="AC909" s="1"/>
      <x:c r="AD909" s="1"/>
      <x:c r="AE909" s="1"/>
      <x:c r="AF909" s="1"/>
    </x:row>
    <x:row r="910" ht="15.75" customHeight="1">
      <x:c r="A910" s="1"/>
      <x:c r="B910" s="37"/>
      <x:c r="C910" s="38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1"/>
      <x:c r="Y910" s="1"/>
      <x:c r="Z910" s="1"/>
      <x:c r="AA910" s="1"/>
      <x:c r="AB910" s="1"/>
      <x:c r="AC910" s="1"/>
      <x:c r="AD910" s="1"/>
      <x:c r="AE910" s="1"/>
      <x:c r="AF910" s="1"/>
    </x:row>
    <x:row r="911" ht="15.75" customHeight="1">
      <x:c r="A911" s="1"/>
      <x:c r="B911" s="37"/>
      <x:c r="C911" s="38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1"/>
      <x:c r="Y911" s="1"/>
      <x:c r="Z911" s="1"/>
      <x:c r="AA911" s="1"/>
      <x:c r="AB911" s="1"/>
      <x:c r="AC911" s="1"/>
      <x:c r="AD911" s="1"/>
      <x:c r="AE911" s="1"/>
      <x:c r="AF911" s="1"/>
    </x:row>
    <x:row r="912" ht="15.75" customHeight="1">
      <x:c r="A912" s="1"/>
      <x:c r="B912" s="37"/>
      <x:c r="C912" s="38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1"/>
      <x:c r="Y912" s="1"/>
      <x:c r="Z912" s="1"/>
      <x:c r="AA912" s="1"/>
      <x:c r="AB912" s="1"/>
      <x:c r="AC912" s="1"/>
      <x:c r="AD912" s="1"/>
      <x:c r="AE912" s="1"/>
      <x:c r="AF912" s="1"/>
    </x:row>
    <x:row r="913" ht="15.75" customHeight="1">
      <x:c r="A913" s="1"/>
      <x:c r="B913" s="37"/>
      <x:c r="C913" s="38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1"/>
      <x:c r="Y913" s="1"/>
      <x:c r="Z913" s="1"/>
      <x:c r="AA913" s="1"/>
      <x:c r="AB913" s="1"/>
      <x:c r="AC913" s="1"/>
      <x:c r="AD913" s="1"/>
      <x:c r="AE913" s="1"/>
      <x:c r="AF913" s="1"/>
    </x:row>
    <x:row r="914" ht="15.75" customHeight="1">
      <x:c r="A914" s="1"/>
      <x:c r="B914" s="37"/>
      <x:c r="C914" s="38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1"/>
      <x:c r="Y914" s="1"/>
      <x:c r="Z914" s="1"/>
      <x:c r="AA914" s="1"/>
      <x:c r="AB914" s="1"/>
      <x:c r="AC914" s="1"/>
      <x:c r="AD914" s="1"/>
      <x:c r="AE914" s="1"/>
      <x:c r="AF914" s="1"/>
    </x:row>
    <x:row r="915" ht="15.75" customHeight="1">
      <x:c r="A915" s="1"/>
      <x:c r="B915" s="37"/>
      <x:c r="C915" s="38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1"/>
      <x:c r="Y915" s="1"/>
      <x:c r="Z915" s="1"/>
      <x:c r="AA915" s="1"/>
      <x:c r="AB915" s="1"/>
      <x:c r="AC915" s="1"/>
      <x:c r="AD915" s="1"/>
      <x:c r="AE915" s="1"/>
      <x:c r="AF915" s="1"/>
    </x:row>
    <x:row r="916" ht="15.75" customHeight="1">
      <x:c r="A916" s="1"/>
      <x:c r="B916" s="37"/>
      <x:c r="C916" s="38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1"/>
      <x:c r="Y916" s="1"/>
      <x:c r="Z916" s="1"/>
      <x:c r="AA916" s="1"/>
      <x:c r="AB916" s="1"/>
      <x:c r="AC916" s="1"/>
      <x:c r="AD916" s="1"/>
      <x:c r="AE916" s="1"/>
      <x:c r="AF916" s="1"/>
    </x:row>
    <x:row r="917" ht="15.75" customHeight="1">
      <x:c r="A917" s="1"/>
      <x:c r="B917" s="37"/>
      <x:c r="C917" s="38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1"/>
      <x:c r="Y917" s="1"/>
      <x:c r="Z917" s="1"/>
      <x:c r="AA917" s="1"/>
      <x:c r="AB917" s="1"/>
      <x:c r="AC917" s="1"/>
      <x:c r="AD917" s="1"/>
      <x:c r="AE917" s="1"/>
      <x:c r="AF917" s="1"/>
    </x:row>
    <x:row r="918" ht="15.75" customHeight="1">
      <x:c r="A918" s="1"/>
      <x:c r="B918" s="37"/>
      <x:c r="C918" s="38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1"/>
      <x:c r="Y918" s="1"/>
      <x:c r="Z918" s="1"/>
      <x:c r="AA918" s="1"/>
      <x:c r="AB918" s="1"/>
      <x:c r="AC918" s="1"/>
      <x:c r="AD918" s="1"/>
      <x:c r="AE918" s="1"/>
      <x:c r="AF918" s="1"/>
    </x:row>
    <x:row r="919" ht="15.75" customHeight="1">
      <x:c r="A919" s="1"/>
      <x:c r="B919" s="37"/>
      <x:c r="C919" s="38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1"/>
      <x:c r="Y919" s="1"/>
      <x:c r="Z919" s="1"/>
      <x:c r="AA919" s="1"/>
      <x:c r="AB919" s="1"/>
      <x:c r="AC919" s="1"/>
      <x:c r="AD919" s="1"/>
      <x:c r="AE919" s="1"/>
      <x:c r="AF919" s="1"/>
    </x:row>
    <x:row r="920" ht="15.75" customHeight="1">
      <x:c r="A920" s="1"/>
      <x:c r="B920" s="37"/>
      <x:c r="C920" s="38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1"/>
      <x:c r="Y920" s="1"/>
      <x:c r="Z920" s="1"/>
      <x:c r="AA920" s="1"/>
      <x:c r="AB920" s="1"/>
      <x:c r="AC920" s="1"/>
      <x:c r="AD920" s="1"/>
      <x:c r="AE920" s="1"/>
      <x:c r="AF920" s="1"/>
    </x:row>
    <x:row r="921" ht="15.75" customHeight="1">
      <x:c r="A921" s="1"/>
      <x:c r="B921" s="37"/>
      <x:c r="C921" s="38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1"/>
      <x:c r="Y921" s="1"/>
      <x:c r="Z921" s="1"/>
      <x:c r="AA921" s="1"/>
      <x:c r="AB921" s="1"/>
      <x:c r="AC921" s="1"/>
      <x:c r="AD921" s="1"/>
      <x:c r="AE921" s="1"/>
      <x:c r="AF921" s="1"/>
    </x:row>
    <x:row r="922" ht="15.75" customHeight="1">
      <x:c r="A922" s="1"/>
      <x:c r="B922" s="37"/>
      <x:c r="C922" s="38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1"/>
      <x:c r="Y922" s="1"/>
      <x:c r="Z922" s="1"/>
      <x:c r="AA922" s="1"/>
      <x:c r="AB922" s="1"/>
      <x:c r="AC922" s="1"/>
      <x:c r="AD922" s="1"/>
      <x:c r="AE922" s="1"/>
      <x:c r="AF922" s="1"/>
    </x:row>
    <x:row r="923" ht="15.75" customHeight="1">
      <x:c r="A923" s="1"/>
      <x:c r="B923" s="37"/>
      <x:c r="C923" s="38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1"/>
      <x:c r="Y923" s="1"/>
      <x:c r="Z923" s="1"/>
      <x:c r="AA923" s="1"/>
      <x:c r="AB923" s="1"/>
      <x:c r="AC923" s="1"/>
      <x:c r="AD923" s="1"/>
      <x:c r="AE923" s="1"/>
      <x:c r="AF923" s="1"/>
    </x:row>
    <x:row r="924" ht="15.75" customHeight="1">
      <x:c r="A924" s="1"/>
      <x:c r="B924" s="37"/>
      <x:c r="C924" s="38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1"/>
      <x:c r="Y924" s="1"/>
      <x:c r="Z924" s="1"/>
      <x:c r="AA924" s="1"/>
      <x:c r="AB924" s="1"/>
      <x:c r="AC924" s="1"/>
      <x:c r="AD924" s="1"/>
      <x:c r="AE924" s="1"/>
      <x:c r="AF924" s="1"/>
    </x:row>
    <x:row r="925" ht="15.75" customHeight="1">
      <x:c r="A925" s="1"/>
      <x:c r="B925" s="37"/>
      <x:c r="C925" s="38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1"/>
      <x:c r="Y925" s="1"/>
      <x:c r="Z925" s="1"/>
      <x:c r="AA925" s="1"/>
      <x:c r="AB925" s="1"/>
      <x:c r="AC925" s="1"/>
      <x:c r="AD925" s="1"/>
      <x:c r="AE925" s="1"/>
      <x:c r="AF925" s="1"/>
    </x:row>
    <x:row r="926" ht="15.75" customHeight="1">
      <x:c r="A926" s="1"/>
      <x:c r="B926" s="37"/>
      <x:c r="C926" s="38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1"/>
      <x:c r="Y926" s="1"/>
      <x:c r="Z926" s="1"/>
      <x:c r="AA926" s="1"/>
      <x:c r="AB926" s="1"/>
      <x:c r="AC926" s="1"/>
      <x:c r="AD926" s="1"/>
      <x:c r="AE926" s="1"/>
      <x:c r="AF926" s="1"/>
    </x:row>
    <x:row r="927" ht="15.75" customHeight="1">
      <x:c r="A927" s="1"/>
      <x:c r="B927" s="37"/>
      <x:c r="C927" s="38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1"/>
      <x:c r="Y927" s="1"/>
      <x:c r="Z927" s="1"/>
      <x:c r="AA927" s="1"/>
      <x:c r="AB927" s="1"/>
      <x:c r="AC927" s="1"/>
      <x:c r="AD927" s="1"/>
      <x:c r="AE927" s="1"/>
      <x:c r="AF927" s="1"/>
    </x:row>
    <x:row r="928" ht="15.75" customHeight="1">
      <x:c r="A928" s="1"/>
      <x:c r="B928" s="37"/>
      <x:c r="C928" s="38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1"/>
      <x:c r="Y928" s="1"/>
      <x:c r="Z928" s="1"/>
      <x:c r="AA928" s="1"/>
      <x:c r="AB928" s="1"/>
      <x:c r="AC928" s="1"/>
      <x:c r="AD928" s="1"/>
      <x:c r="AE928" s="1"/>
      <x:c r="AF928" s="1"/>
    </x:row>
    <x:row r="929" ht="15.75" customHeight="1">
      <x:c r="A929" s="1"/>
      <x:c r="B929" s="37"/>
      <x:c r="C929" s="38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1"/>
      <x:c r="Y929" s="1"/>
      <x:c r="Z929" s="1"/>
      <x:c r="AA929" s="1"/>
      <x:c r="AB929" s="1"/>
      <x:c r="AC929" s="1"/>
      <x:c r="AD929" s="1"/>
      <x:c r="AE929" s="1"/>
      <x:c r="AF929" s="1"/>
    </x:row>
    <x:row r="930" ht="15.75" customHeight="1">
      <x:c r="A930" s="1"/>
      <x:c r="B930" s="37"/>
      <x:c r="C930" s="38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1"/>
      <x:c r="Y930" s="1"/>
      <x:c r="Z930" s="1"/>
      <x:c r="AA930" s="1"/>
      <x:c r="AB930" s="1"/>
      <x:c r="AC930" s="1"/>
      <x:c r="AD930" s="1"/>
      <x:c r="AE930" s="1"/>
      <x:c r="AF930" s="1"/>
    </x:row>
    <x:row r="931" ht="15.75" customHeight="1">
      <x:c r="A931" s="1"/>
      <x:c r="B931" s="37"/>
      <x:c r="C931" s="38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1"/>
      <x:c r="Y931" s="1"/>
      <x:c r="Z931" s="1"/>
      <x:c r="AA931" s="1"/>
      <x:c r="AB931" s="1"/>
      <x:c r="AC931" s="1"/>
      <x:c r="AD931" s="1"/>
      <x:c r="AE931" s="1"/>
      <x:c r="AF931" s="1"/>
    </x:row>
    <x:row r="932" ht="15.75" customHeight="1">
      <x:c r="A932" s="1"/>
      <x:c r="B932" s="37"/>
      <x:c r="C932" s="38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1"/>
      <x:c r="Y932" s="1"/>
      <x:c r="Z932" s="1"/>
      <x:c r="AA932" s="1"/>
      <x:c r="AB932" s="1"/>
      <x:c r="AC932" s="1"/>
      <x:c r="AD932" s="1"/>
      <x:c r="AE932" s="1"/>
      <x:c r="AF932" s="1"/>
    </x:row>
    <x:row r="933" ht="15.75" customHeight="1">
      <x:c r="A933" s="1"/>
      <x:c r="B933" s="37"/>
      <x:c r="C933" s="38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1"/>
      <x:c r="Y933" s="1"/>
      <x:c r="Z933" s="1"/>
      <x:c r="AA933" s="1"/>
      <x:c r="AB933" s="1"/>
      <x:c r="AC933" s="1"/>
      <x:c r="AD933" s="1"/>
      <x:c r="AE933" s="1"/>
      <x:c r="AF933" s="1"/>
    </x:row>
    <x:row r="934" ht="15.75" customHeight="1">
      <x:c r="A934" s="1"/>
      <x:c r="B934" s="37"/>
      <x:c r="C934" s="38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1"/>
      <x:c r="Y934" s="1"/>
      <x:c r="Z934" s="1"/>
      <x:c r="AA934" s="1"/>
      <x:c r="AB934" s="1"/>
      <x:c r="AC934" s="1"/>
      <x:c r="AD934" s="1"/>
      <x:c r="AE934" s="1"/>
      <x:c r="AF934" s="1"/>
    </x:row>
    <x:row r="935" ht="15.75" customHeight="1">
      <x:c r="A935" s="1"/>
      <x:c r="B935" s="37"/>
      <x:c r="C935" s="38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1"/>
      <x:c r="Y935" s="1"/>
      <x:c r="Z935" s="1"/>
      <x:c r="AA935" s="1"/>
      <x:c r="AB935" s="1"/>
      <x:c r="AC935" s="1"/>
      <x:c r="AD935" s="1"/>
      <x:c r="AE935" s="1"/>
      <x:c r="AF935" s="1"/>
    </x:row>
    <x:row r="936" ht="15.75" customHeight="1">
      <x:c r="A936" s="1"/>
      <x:c r="B936" s="37"/>
      <x:c r="C936" s="38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1"/>
      <x:c r="Y936" s="1"/>
      <x:c r="Z936" s="1"/>
      <x:c r="AA936" s="1"/>
      <x:c r="AB936" s="1"/>
      <x:c r="AC936" s="1"/>
      <x:c r="AD936" s="1"/>
      <x:c r="AE936" s="1"/>
      <x:c r="AF936" s="1"/>
    </x:row>
    <x:row r="937" ht="15.75" customHeight="1">
      <x:c r="A937" s="1"/>
      <x:c r="B937" s="37"/>
      <x:c r="C937" s="38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1"/>
      <x:c r="Y937" s="1"/>
      <x:c r="Z937" s="1"/>
      <x:c r="AA937" s="1"/>
      <x:c r="AB937" s="1"/>
      <x:c r="AC937" s="1"/>
      <x:c r="AD937" s="1"/>
      <x:c r="AE937" s="1"/>
      <x:c r="AF937" s="1"/>
    </x:row>
    <x:row r="938" ht="15.75" customHeight="1">
      <x:c r="A938" s="1"/>
      <x:c r="B938" s="37"/>
      <x:c r="C938" s="38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1"/>
      <x:c r="Y938" s="1"/>
      <x:c r="Z938" s="1"/>
      <x:c r="AA938" s="1"/>
      <x:c r="AB938" s="1"/>
      <x:c r="AC938" s="1"/>
      <x:c r="AD938" s="1"/>
      <x:c r="AE938" s="1"/>
      <x:c r="AF938" s="1"/>
    </x:row>
    <x:row r="939" ht="15.75" customHeight="1">
      <x:c r="A939" s="1"/>
      <x:c r="B939" s="37"/>
      <x:c r="C939" s="38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1"/>
      <x:c r="Y939" s="1"/>
      <x:c r="Z939" s="1"/>
      <x:c r="AA939" s="1"/>
      <x:c r="AB939" s="1"/>
      <x:c r="AC939" s="1"/>
      <x:c r="AD939" s="1"/>
      <x:c r="AE939" s="1"/>
      <x:c r="AF939" s="1"/>
    </x:row>
    <x:row r="940" ht="15.75" customHeight="1">
      <x:c r="A940" s="1"/>
      <x:c r="B940" s="37"/>
      <x:c r="C940" s="38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1"/>
      <x:c r="Y940" s="1"/>
      <x:c r="Z940" s="1"/>
      <x:c r="AA940" s="1"/>
      <x:c r="AB940" s="1"/>
      <x:c r="AC940" s="1"/>
      <x:c r="AD940" s="1"/>
      <x:c r="AE940" s="1"/>
      <x:c r="AF940" s="1"/>
    </x:row>
    <x:row r="941" ht="15.75" customHeight="1">
      <x:c r="A941" s="1"/>
      <x:c r="B941" s="37"/>
      <x:c r="C941" s="38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1"/>
      <x:c r="Y941" s="1"/>
      <x:c r="Z941" s="1"/>
      <x:c r="AA941" s="1"/>
      <x:c r="AB941" s="1"/>
      <x:c r="AC941" s="1"/>
      <x:c r="AD941" s="1"/>
      <x:c r="AE941" s="1"/>
      <x:c r="AF941" s="1"/>
    </x:row>
    <x:row r="942" ht="15.75" customHeight="1">
      <x:c r="A942" s="1"/>
      <x:c r="B942" s="37"/>
      <x:c r="C942" s="38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1"/>
      <x:c r="Y942" s="1"/>
      <x:c r="Z942" s="1"/>
      <x:c r="AA942" s="1"/>
      <x:c r="AB942" s="1"/>
      <x:c r="AC942" s="1"/>
      <x:c r="AD942" s="1"/>
      <x:c r="AE942" s="1"/>
      <x:c r="AF942" s="1"/>
    </x:row>
    <x:row r="943" ht="15.75" customHeight="1">
      <x:c r="A943" s="1"/>
      <x:c r="B943" s="37"/>
      <x:c r="C943" s="38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1"/>
      <x:c r="Y943" s="1"/>
      <x:c r="Z943" s="1"/>
      <x:c r="AA943" s="1"/>
      <x:c r="AB943" s="1"/>
      <x:c r="AC943" s="1"/>
      <x:c r="AD943" s="1"/>
      <x:c r="AE943" s="1"/>
      <x:c r="AF943" s="1"/>
    </x:row>
    <x:row r="944" ht="15.75" customHeight="1">
      <x:c r="A944" s="1"/>
      <x:c r="B944" s="37"/>
      <x:c r="C944" s="38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1"/>
      <x:c r="Y944" s="1"/>
      <x:c r="Z944" s="1"/>
      <x:c r="AA944" s="1"/>
      <x:c r="AB944" s="1"/>
      <x:c r="AC944" s="1"/>
      <x:c r="AD944" s="1"/>
      <x:c r="AE944" s="1"/>
      <x:c r="AF944" s="1"/>
    </x:row>
    <x:row r="945" ht="15.75" customHeight="1">
      <x:c r="A945" s="1"/>
      <x:c r="B945" s="37"/>
      <x:c r="C945" s="38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1"/>
      <x:c r="Y945" s="1"/>
      <x:c r="Z945" s="1"/>
      <x:c r="AA945" s="1"/>
      <x:c r="AB945" s="1"/>
      <x:c r="AC945" s="1"/>
      <x:c r="AD945" s="1"/>
      <x:c r="AE945" s="1"/>
      <x:c r="AF945" s="1"/>
    </x:row>
    <x:row r="946" ht="15.75" customHeight="1">
      <x:c r="A946" s="1"/>
      <x:c r="B946" s="37"/>
      <x:c r="C946" s="38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1"/>
      <x:c r="Y946" s="1"/>
      <x:c r="Z946" s="1"/>
      <x:c r="AA946" s="1"/>
      <x:c r="AB946" s="1"/>
      <x:c r="AC946" s="1"/>
      <x:c r="AD946" s="1"/>
      <x:c r="AE946" s="1"/>
      <x:c r="AF946" s="1"/>
    </x:row>
    <x:row r="947" ht="15.75" customHeight="1">
      <x:c r="A947" s="1"/>
      <x:c r="B947" s="37"/>
      <x:c r="C947" s="38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1"/>
      <x:c r="Y947" s="1"/>
      <x:c r="Z947" s="1"/>
      <x:c r="AA947" s="1"/>
      <x:c r="AB947" s="1"/>
      <x:c r="AC947" s="1"/>
      <x:c r="AD947" s="1"/>
      <x:c r="AE947" s="1"/>
      <x:c r="AF947" s="1"/>
    </x:row>
    <x:row r="948" ht="15.75" customHeight="1">
      <x:c r="A948" s="1"/>
      <x:c r="B948" s="37"/>
      <x:c r="C948" s="38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1"/>
      <x:c r="Y948" s="1"/>
      <x:c r="Z948" s="1"/>
      <x:c r="AA948" s="1"/>
      <x:c r="AB948" s="1"/>
      <x:c r="AC948" s="1"/>
      <x:c r="AD948" s="1"/>
      <x:c r="AE948" s="1"/>
      <x:c r="AF948" s="1"/>
    </x:row>
    <x:row r="949" ht="15.75" customHeight="1">
      <x:c r="A949" s="1"/>
      <x:c r="B949" s="37"/>
      <x:c r="C949" s="38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1"/>
      <x:c r="Y949" s="1"/>
      <x:c r="Z949" s="1"/>
      <x:c r="AA949" s="1"/>
      <x:c r="AB949" s="1"/>
      <x:c r="AC949" s="1"/>
      <x:c r="AD949" s="1"/>
      <x:c r="AE949" s="1"/>
      <x:c r="AF949" s="1"/>
    </x:row>
    <x:row r="950" ht="15.75" customHeight="1">
      <x:c r="A950" s="1"/>
      <x:c r="B950" s="37"/>
      <x:c r="C950" s="38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1"/>
      <x:c r="Y950" s="1"/>
      <x:c r="Z950" s="1"/>
      <x:c r="AA950" s="1"/>
      <x:c r="AB950" s="1"/>
      <x:c r="AC950" s="1"/>
      <x:c r="AD950" s="1"/>
      <x:c r="AE950" s="1"/>
      <x:c r="AF950" s="1"/>
    </x:row>
    <x:row r="951" ht="15.75" customHeight="1">
      <x:c r="A951" s="1"/>
      <x:c r="B951" s="37"/>
      <x:c r="C951" s="38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1"/>
      <x:c r="Y951" s="1"/>
      <x:c r="Z951" s="1"/>
      <x:c r="AA951" s="1"/>
      <x:c r="AB951" s="1"/>
      <x:c r="AC951" s="1"/>
      <x:c r="AD951" s="1"/>
      <x:c r="AE951" s="1"/>
      <x:c r="AF951" s="1"/>
    </x:row>
    <x:row r="952" ht="15.75" customHeight="1">
      <x:c r="A952" s="1"/>
      <x:c r="B952" s="37"/>
      <x:c r="C952" s="38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1"/>
      <x:c r="Y952" s="1"/>
      <x:c r="Z952" s="1"/>
      <x:c r="AA952" s="1"/>
      <x:c r="AB952" s="1"/>
      <x:c r="AC952" s="1"/>
      <x:c r="AD952" s="1"/>
      <x:c r="AE952" s="1"/>
      <x:c r="AF952" s="1"/>
    </x:row>
    <x:row r="953" ht="15.75" customHeight="1">
      <x:c r="A953" s="1"/>
      <x:c r="B953" s="37"/>
      <x:c r="C953" s="38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1"/>
      <x:c r="Y953" s="1"/>
      <x:c r="Z953" s="1"/>
      <x:c r="AA953" s="1"/>
      <x:c r="AB953" s="1"/>
      <x:c r="AC953" s="1"/>
      <x:c r="AD953" s="1"/>
      <x:c r="AE953" s="1"/>
      <x:c r="AF953" s="1"/>
    </x:row>
    <x:row r="954" ht="15.75" customHeight="1">
      <x:c r="A954" s="1"/>
      <x:c r="B954" s="37"/>
      <x:c r="C954" s="38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1"/>
      <x:c r="Y954" s="1"/>
      <x:c r="Z954" s="1"/>
      <x:c r="AA954" s="1"/>
      <x:c r="AB954" s="1"/>
      <x:c r="AC954" s="1"/>
      <x:c r="AD954" s="1"/>
      <x:c r="AE954" s="1"/>
      <x:c r="AF954" s="1"/>
    </x:row>
    <x:row r="955" ht="15.75" customHeight="1">
      <x:c r="A955" s="1"/>
      <x:c r="B955" s="37"/>
      <x:c r="C955" s="38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1"/>
      <x:c r="Y955" s="1"/>
      <x:c r="Z955" s="1"/>
      <x:c r="AA955" s="1"/>
      <x:c r="AB955" s="1"/>
      <x:c r="AC955" s="1"/>
      <x:c r="AD955" s="1"/>
      <x:c r="AE955" s="1"/>
      <x:c r="AF955" s="1"/>
    </x:row>
    <x:row r="956" ht="15.75" customHeight="1">
      <x:c r="A956" s="1"/>
      <x:c r="B956" s="37"/>
      <x:c r="C956" s="38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1"/>
      <x:c r="Y956" s="1"/>
      <x:c r="Z956" s="1"/>
      <x:c r="AA956" s="1"/>
      <x:c r="AB956" s="1"/>
      <x:c r="AC956" s="1"/>
      <x:c r="AD956" s="1"/>
      <x:c r="AE956" s="1"/>
      <x:c r="AF956" s="1"/>
    </x:row>
    <x:row r="957" ht="15.75" customHeight="1">
      <x:c r="A957" s="1"/>
      <x:c r="B957" s="37"/>
      <x:c r="C957" s="38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1"/>
      <x:c r="Y957" s="1"/>
      <x:c r="Z957" s="1"/>
      <x:c r="AA957" s="1"/>
      <x:c r="AB957" s="1"/>
      <x:c r="AC957" s="1"/>
      <x:c r="AD957" s="1"/>
      <x:c r="AE957" s="1"/>
      <x:c r="AF957" s="1"/>
    </x:row>
    <x:row r="958" ht="15.75" customHeight="1">
      <x:c r="A958" s="1"/>
      <x:c r="B958" s="37"/>
      <x:c r="C958" s="38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1"/>
      <x:c r="Y958" s="1"/>
      <x:c r="Z958" s="1"/>
      <x:c r="AA958" s="1"/>
      <x:c r="AB958" s="1"/>
      <x:c r="AC958" s="1"/>
      <x:c r="AD958" s="1"/>
      <x:c r="AE958" s="1"/>
      <x:c r="AF958" s="1"/>
    </x:row>
    <x:row r="959" ht="15.75" customHeight="1">
      <x:c r="A959" s="1"/>
      <x:c r="B959" s="37"/>
      <x:c r="C959" s="38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1"/>
      <x:c r="Y959" s="1"/>
      <x:c r="Z959" s="1"/>
      <x:c r="AA959" s="1"/>
      <x:c r="AB959" s="1"/>
      <x:c r="AC959" s="1"/>
      <x:c r="AD959" s="1"/>
      <x:c r="AE959" s="1"/>
      <x:c r="AF959" s="1"/>
    </x:row>
    <x:row r="960" ht="15.75" customHeight="1">
      <x:c r="A960" s="1"/>
      <x:c r="B960" s="37"/>
      <x:c r="C960" s="38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1"/>
      <x:c r="Y960" s="1"/>
      <x:c r="Z960" s="1"/>
      <x:c r="AA960" s="1"/>
      <x:c r="AB960" s="1"/>
      <x:c r="AC960" s="1"/>
      <x:c r="AD960" s="1"/>
      <x:c r="AE960" s="1"/>
      <x:c r="AF960" s="1"/>
    </x:row>
    <x:row r="961" ht="15.75" customHeight="1">
      <x:c r="A961" s="1"/>
      <x:c r="B961" s="37"/>
      <x:c r="C961" s="38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1"/>
      <x:c r="Y961" s="1"/>
      <x:c r="Z961" s="1"/>
      <x:c r="AA961" s="1"/>
      <x:c r="AB961" s="1"/>
      <x:c r="AC961" s="1"/>
      <x:c r="AD961" s="1"/>
      <x:c r="AE961" s="1"/>
      <x:c r="AF961" s="1"/>
    </x:row>
    <x:row r="962" ht="15.75" customHeight="1">
      <x:c r="A962" s="1"/>
      <x:c r="B962" s="37"/>
      <x:c r="C962" s="38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1"/>
      <x:c r="Y962" s="1"/>
      <x:c r="Z962" s="1"/>
      <x:c r="AA962" s="1"/>
      <x:c r="AB962" s="1"/>
      <x:c r="AC962" s="1"/>
      <x:c r="AD962" s="1"/>
      <x:c r="AE962" s="1"/>
      <x:c r="AF962" s="1"/>
    </x:row>
    <x:row r="963" ht="15.75" customHeight="1">
      <x:c r="A963" s="1"/>
      <x:c r="B963" s="37"/>
      <x:c r="C963" s="38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1"/>
      <x:c r="Y963" s="1"/>
      <x:c r="Z963" s="1"/>
      <x:c r="AA963" s="1"/>
      <x:c r="AB963" s="1"/>
      <x:c r="AC963" s="1"/>
      <x:c r="AD963" s="1"/>
      <x:c r="AE963" s="1"/>
      <x:c r="AF963" s="1"/>
    </x:row>
    <x:row r="964" ht="15.75" customHeight="1">
      <x:c r="A964" s="1"/>
      <x:c r="B964" s="37"/>
      <x:c r="C964" s="38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1"/>
      <x:c r="Y964" s="1"/>
      <x:c r="Z964" s="1"/>
      <x:c r="AA964" s="1"/>
      <x:c r="AB964" s="1"/>
      <x:c r="AC964" s="1"/>
      <x:c r="AD964" s="1"/>
      <x:c r="AE964" s="1"/>
      <x:c r="AF964" s="1"/>
    </x:row>
    <x:row r="965" ht="15.75" customHeight="1">
      <x:c r="A965" s="1"/>
      <x:c r="B965" s="37"/>
      <x:c r="C965" s="38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1"/>
      <x:c r="Y965" s="1"/>
      <x:c r="Z965" s="1"/>
      <x:c r="AA965" s="1"/>
      <x:c r="AB965" s="1"/>
      <x:c r="AC965" s="1"/>
      <x:c r="AD965" s="1"/>
      <x:c r="AE965" s="1"/>
      <x:c r="AF965" s="1"/>
    </x:row>
    <x:row r="966" ht="15.75" customHeight="1">
      <x:c r="A966" s="1"/>
      <x:c r="B966" s="37"/>
      <x:c r="C966" s="38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1"/>
      <x:c r="Y966" s="1"/>
      <x:c r="Z966" s="1"/>
      <x:c r="AA966" s="1"/>
      <x:c r="AB966" s="1"/>
      <x:c r="AC966" s="1"/>
      <x:c r="AD966" s="1"/>
      <x:c r="AE966" s="1"/>
      <x:c r="AF966" s="1"/>
    </x:row>
    <x:row r="967" ht="15.75" customHeight="1">
      <x:c r="A967" s="1"/>
      <x:c r="B967" s="37"/>
      <x:c r="C967" s="38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1"/>
      <x:c r="Y967" s="1"/>
      <x:c r="Z967" s="1"/>
      <x:c r="AA967" s="1"/>
      <x:c r="AB967" s="1"/>
      <x:c r="AC967" s="1"/>
      <x:c r="AD967" s="1"/>
      <x:c r="AE967" s="1"/>
      <x:c r="AF967" s="1"/>
    </x:row>
    <x:row r="968" ht="15.75" customHeight="1">
      <x:c r="A968" s="1"/>
      <x:c r="B968" s="37"/>
      <x:c r="C968" s="38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1"/>
      <x:c r="Y968" s="1"/>
      <x:c r="Z968" s="1"/>
      <x:c r="AA968" s="1"/>
      <x:c r="AB968" s="1"/>
      <x:c r="AC968" s="1"/>
      <x:c r="AD968" s="1"/>
      <x:c r="AE968" s="1"/>
      <x:c r="AF968" s="1"/>
    </x:row>
    <x:row r="969" ht="15.75" customHeight="1">
      <x:c r="A969" s="1"/>
      <x:c r="B969" s="37"/>
      <x:c r="C969" s="38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1"/>
      <x:c r="Y969" s="1"/>
      <x:c r="Z969" s="1"/>
      <x:c r="AA969" s="1"/>
      <x:c r="AB969" s="1"/>
      <x:c r="AC969" s="1"/>
      <x:c r="AD969" s="1"/>
      <x:c r="AE969" s="1"/>
      <x:c r="AF969" s="1"/>
    </x:row>
    <x:row r="970" ht="15.75" customHeight="1">
      <x:c r="A970" s="1"/>
      <x:c r="B970" s="37"/>
      <x:c r="C970" s="38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1"/>
      <x:c r="Y970" s="1"/>
      <x:c r="Z970" s="1"/>
      <x:c r="AA970" s="1"/>
      <x:c r="AB970" s="1"/>
      <x:c r="AC970" s="1"/>
      <x:c r="AD970" s="1"/>
      <x:c r="AE970" s="1"/>
      <x:c r="AF970" s="1"/>
    </x:row>
    <x:row r="971" ht="15.75" customHeight="1">
      <x:c r="A971" s="1"/>
      <x:c r="B971" s="37"/>
      <x:c r="C971" s="38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1"/>
      <x:c r="Y971" s="1"/>
      <x:c r="Z971" s="1"/>
      <x:c r="AA971" s="1"/>
      <x:c r="AB971" s="1"/>
      <x:c r="AC971" s="1"/>
      <x:c r="AD971" s="1"/>
      <x:c r="AE971" s="1"/>
      <x:c r="AF971" s="1"/>
    </x:row>
    <x:row r="972" ht="15.75" customHeight="1">
      <x:c r="A972" s="1"/>
      <x:c r="B972" s="37"/>
      <x:c r="C972" s="38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1"/>
      <x:c r="Y972" s="1"/>
      <x:c r="Z972" s="1"/>
      <x:c r="AA972" s="1"/>
      <x:c r="AB972" s="1"/>
      <x:c r="AC972" s="1"/>
      <x:c r="AD972" s="1"/>
      <x:c r="AE972" s="1"/>
      <x:c r="AF972" s="1"/>
    </x:row>
    <x:row r="973" ht="15.75" customHeight="1">
      <x:c r="A973" s="1"/>
      <x:c r="B973" s="37"/>
      <x:c r="C973" s="38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1"/>
      <x:c r="Y973" s="1"/>
      <x:c r="Z973" s="1"/>
      <x:c r="AA973" s="1"/>
      <x:c r="AB973" s="1"/>
      <x:c r="AC973" s="1"/>
      <x:c r="AD973" s="1"/>
      <x:c r="AE973" s="1"/>
      <x:c r="AF973" s="1"/>
    </x:row>
    <x:row r="974" ht="15.75" customHeight="1">
      <x:c r="A974" s="1"/>
      <x:c r="B974" s="37"/>
      <x:c r="C974" s="38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1"/>
      <x:c r="Y974" s="1"/>
      <x:c r="Z974" s="1"/>
      <x:c r="AA974" s="1"/>
      <x:c r="AB974" s="1"/>
      <x:c r="AC974" s="1"/>
      <x:c r="AD974" s="1"/>
      <x:c r="AE974" s="1"/>
      <x:c r="AF974" s="1"/>
    </x:row>
    <x:row r="975" ht="15.75" customHeight="1">
      <x:c r="A975" s="1"/>
      <x:c r="B975" s="37"/>
      <x:c r="C975" s="38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1"/>
      <x:c r="Y975" s="1"/>
      <x:c r="Z975" s="1"/>
      <x:c r="AA975" s="1"/>
      <x:c r="AB975" s="1"/>
      <x:c r="AC975" s="1"/>
      <x:c r="AD975" s="1"/>
      <x:c r="AE975" s="1"/>
      <x:c r="AF975" s="1"/>
    </x:row>
    <x:row r="976" ht="15.75" customHeight="1">
      <x:c r="A976" s="1"/>
      <x:c r="B976" s="37"/>
      <x:c r="C976" s="38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1"/>
      <x:c r="Y976" s="1"/>
      <x:c r="Z976" s="1"/>
      <x:c r="AA976" s="1"/>
      <x:c r="AB976" s="1"/>
      <x:c r="AC976" s="1"/>
      <x:c r="AD976" s="1"/>
      <x:c r="AE976" s="1"/>
      <x:c r="AF976" s="1"/>
    </x:row>
    <x:row r="977" ht="15.75" customHeight="1">
      <x:c r="A977" s="1"/>
      <x:c r="B977" s="37"/>
      <x:c r="C977" s="38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1"/>
      <x:c r="Y977" s="1"/>
      <x:c r="Z977" s="1"/>
      <x:c r="AA977" s="1"/>
      <x:c r="AB977" s="1"/>
      <x:c r="AC977" s="1"/>
      <x:c r="AD977" s="1"/>
      <x:c r="AE977" s="1"/>
      <x:c r="AF977" s="1"/>
    </x:row>
    <x:row r="978" ht="15.75" customHeight="1">
      <x:c r="A978" s="1"/>
      <x:c r="B978" s="37"/>
      <x:c r="C978" s="38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1"/>
      <x:c r="Y978" s="1"/>
      <x:c r="Z978" s="1"/>
      <x:c r="AA978" s="1"/>
      <x:c r="AB978" s="1"/>
      <x:c r="AC978" s="1"/>
      <x:c r="AD978" s="1"/>
      <x:c r="AE978" s="1"/>
      <x:c r="AF978" s="1"/>
    </x:row>
    <x:row r="979" ht="15.75" customHeight="1">
      <x:c r="A979" s="1"/>
      <x:c r="B979" s="37"/>
      <x:c r="C979" s="38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1"/>
      <x:c r="Y979" s="1"/>
      <x:c r="Z979" s="1"/>
      <x:c r="AA979" s="1"/>
      <x:c r="AB979" s="1"/>
      <x:c r="AC979" s="1"/>
      <x:c r="AD979" s="1"/>
      <x:c r="AE979" s="1"/>
      <x:c r="AF979" s="1"/>
    </x:row>
    <x:row r="980" ht="15.75" customHeight="1">
      <x:c r="A980" s="1"/>
      <x:c r="B980" s="37"/>
      <x:c r="C980" s="38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1"/>
      <x:c r="Y980" s="1"/>
      <x:c r="Z980" s="1"/>
      <x:c r="AA980" s="1"/>
      <x:c r="AB980" s="1"/>
      <x:c r="AC980" s="1"/>
      <x:c r="AD980" s="1"/>
      <x:c r="AE980" s="1"/>
      <x:c r="AF980" s="1"/>
    </x:row>
    <x:row r="981" ht="15.75" customHeight="1">
      <x:c r="A981" s="1"/>
      <x:c r="B981" s="37"/>
      <x:c r="C981" s="38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1"/>
      <x:c r="Y981" s="1"/>
      <x:c r="Z981" s="1"/>
      <x:c r="AA981" s="1"/>
      <x:c r="AB981" s="1"/>
      <x:c r="AC981" s="1"/>
      <x:c r="AD981" s="1"/>
      <x:c r="AE981" s="1"/>
      <x:c r="AF981" s="1"/>
    </x:row>
    <x:row r="982" ht="15.75" customHeight="1">
      <x:c r="A982" s="1"/>
      <x:c r="B982" s="37"/>
      <x:c r="C982" s="38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1"/>
      <x:c r="Y982" s="1"/>
      <x:c r="Z982" s="1"/>
      <x:c r="AA982" s="1"/>
      <x:c r="AB982" s="1"/>
      <x:c r="AC982" s="1"/>
      <x:c r="AD982" s="1"/>
      <x:c r="AE982" s="1"/>
      <x:c r="AF982" s="1"/>
    </x:row>
    <x:row r="983" ht="15.75" customHeight="1">
      <x:c r="A983" s="1"/>
      <x:c r="B983" s="37"/>
      <x:c r="C983" s="38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1"/>
      <x:c r="Y983" s="1"/>
      <x:c r="Z983" s="1"/>
      <x:c r="AA983" s="1"/>
      <x:c r="AB983" s="1"/>
      <x:c r="AC983" s="1"/>
      <x:c r="AD983" s="1"/>
      <x:c r="AE983" s="1"/>
      <x:c r="AF983" s="1"/>
    </x:row>
    <x:row r="984" ht="15.75" customHeight="1">
      <x:c r="A984" s="1"/>
      <x:c r="B984" s="37"/>
      <x:c r="C984" s="38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1"/>
      <x:c r="Y984" s="1"/>
      <x:c r="Z984" s="1"/>
      <x:c r="AA984" s="1"/>
      <x:c r="AB984" s="1"/>
      <x:c r="AC984" s="1"/>
      <x:c r="AD984" s="1"/>
      <x:c r="AE984" s="1"/>
      <x:c r="AF984" s="1"/>
    </x:row>
    <x:row r="985" ht="15.75" customHeight="1">
      <x:c r="A985" s="1"/>
      <x:c r="B985" s="37"/>
      <x:c r="C985" s="38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1"/>
      <x:c r="Y985" s="1"/>
      <x:c r="Z985" s="1"/>
      <x:c r="AA985" s="1"/>
      <x:c r="AB985" s="1"/>
      <x:c r="AC985" s="1"/>
      <x:c r="AD985" s="1"/>
      <x:c r="AE985" s="1"/>
      <x:c r="AF985" s="1"/>
    </x:row>
    <x:row r="986" ht="15.75" customHeight="1">
      <x:c r="A986" s="1"/>
      <x:c r="B986" s="37"/>
      <x:c r="C986" s="38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1"/>
      <x:c r="Y986" s="1"/>
      <x:c r="Z986" s="1"/>
      <x:c r="AA986" s="1"/>
      <x:c r="AB986" s="1"/>
      <x:c r="AC986" s="1"/>
      <x:c r="AD986" s="1"/>
      <x:c r="AE986" s="1"/>
      <x:c r="AF986" s="1"/>
    </x:row>
    <x:row r="987" ht="15.75" customHeight="1">
      <x:c r="A987" s="1"/>
      <x:c r="B987" s="37"/>
      <x:c r="C987" s="38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1"/>
      <x:c r="Y987" s="1"/>
      <x:c r="Z987" s="1"/>
      <x:c r="AA987" s="1"/>
      <x:c r="AB987" s="1"/>
      <x:c r="AC987" s="1"/>
      <x:c r="AD987" s="1"/>
      <x:c r="AE987" s="1"/>
      <x:c r="AF987" s="1"/>
    </x:row>
    <x:row r="988" ht="15.75" customHeight="1">
      <x:c r="A988" s="1"/>
      <x:c r="B988" s="37"/>
      <x:c r="C988" s="38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1"/>
      <x:c r="Y988" s="1"/>
      <x:c r="Z988" s="1"/>
      <x:c r="AA988" s="1"/>
      <x:c r="AB988" s="1"/>
      <x:c r="AC988" s="1"/>
      <x:c r="AD988" s="1"/>
      <x:c r="AE988" s="1"/>
      <x:c r="AF988" s="1"/>
    </x:row>
    <x:row r="989" ht="15.75" customHeight="1">
      <x:c r="A989" s="1"/>
      <x:c r="B989" s="37"/>
      <x:c r="C989" s="38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1"/>
      <x:c r="Y989" s="1"/>
      <x:c r="Z989" s="1"/>
      <x:c r="AA989" s="1"/>
      <x:c r="AB989" s="1"/>
      <x:c r="AC989" s="1"/>
      <x:c r="AD989" s="1"/>
      <x:c r="AE989" s="1"/>
      <x:c r="AF989" s="1"/>
    </x:row>
    <x:row r="990" ht="15.75" customHeight="1">
      <x:c r="A990" s="1"/>
      <x:c r="B990" s="37"/>
      <x:c r="C990" s="38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1"/>
      <x:c r="Y990" s="1"/>
      <x:c r="Z990" s="1"/>
      <x:c r="AA990" s="1"/>
      <x:c r="AB990" s="1"/>
      <x:c r="AC990" s="1"/>
      <x:c r="AD990" s="1"/>
      <x:c r="AE990" s="1"/>
      <x:c r="AF990" s="1"/>
    </x:row>
    <x:row r="991" ht="15.75" customHeight="1">
      <x:c r="A991" s="1"/>
      <x:c r="B991" s="37"/>
      <x:c r="C991" s="38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1"/>
      <x:c r="Y991" s="1"/>
      <x:c r="Z991" s="1"/>
      <x:c r="AA991" s="1"/>
      <x:c r="AB991" s="1"/>
      <x:c r="AC991" s="1"/>
      <x:c r="AD991" s="1"/>
      <x:c r="AE991" s="1"/>
      <x:c r="AF991" s="1"/>
    </x:row>
    <x:row r="992" ht="15.75" customHeight="1">
      <x:c r="A992" s="1"/>
      <x:c r="B992" s="37"/>
      <x:c r="C992" s="38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1"/>
      <x:c r="Y992" s="1"/>
      <x:c r="Z992" s="1"/>
      <x:c r="AA992" s="1"/>
      <x:c r="AB992" s="1"/>
      <x:c r="AC992" s="1"/>
      <x:c r="AD992" s="1"/>
      <x:c r="AE992" s="1"/>
      <x:c r="AF992" s="1"/>
    </x:row>
    <x:row r="993" ht="15.75" customHeight="1">
      <x:c r="A993" s="1"/>
      <x:c r="B993" s="37"/>
      <x:c r="C993" s="38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1"/>
      <x:c r="Y993" s="1"/>
      <x:c r="Z993" s="1"/>
      <x:c r="AA993" s="1"/>
      <x:c r="AB993" s="1"/>
      <x:c r="AC993" s="1"/>
      <x:c r="AD993" s="1"/>
      <x:c r="AE993" s="1"/>
      <x:c r="AF993" s="1"/>
    </x:row>
    <x:row r="994" ht="15.75" customHeight="1">
      <x:c r="A994" s="1"/>
      <x:c r="B994" s="37"/>
      <x:c r="C994" s="38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1"/>
      <x:c r="Y994" s="1"/>
      <x:c r="Z994" s="1"/>
      <x:c r="AA994" s="1"/>
      <x:c r="AB994" s="1"/>
      <x:c r="AC994" s="1"/>
      <x:c r="AD994" s="1"/>
      <x:c r="AE994" s="1"/>
      <x:c r="AF994" s="1"/>
    </x:row>
    <x:row r="995" ht="15.75" customHeight="1">
      <x:c r="A995" s="1"/>
      <x:c r="B995" s="37"/>
      <x:c r="C995" s="38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1"/>
      <x:c r="Y995" s="1"/>
      <x:c r="Z995" s="1"/>
      <x:c r="AA995" s="1"/>
      <x:c r="AB995" s="1"/>
      <x:c r="AC995" s="1"/>
      <x:c r="AD995" s="1"/>
      <x:c r="AE995" s="1"/>
      <x:c r="AF995" s="1"/>
    </x:row>
    <x:row r="996" ht="15.75" customHeight="1">
      <x:c r="A996" s="1"/>
      <x:c r="B996" s="37"/>
      <x:c r="C996" s="38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1"/>
      <x:c r="Y996" s="1"/>
      <x:c r="Z996" s="1"/>
      <x:c r="AA996" s="1"/>
      <x:c r="AB996" s="1"/>
      <x:c r="AC996" s="1"/>
      <x:c r="AD996" s="1"/>
      <x:c r="AE996" s="1"/>
      <x:c r="AF996" s="1"/>
    </x:row>
    <x:row r="997" ht="15.75" customHeight="1">
      <x:c r="A997" s="1"/>
      <x:c r="B997" s="37"/>
      <x:c r="C997" s="38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1"/>
      <x:c r="Y997" s="1"/>
      <x:c r="Z997" s="1"/>
      <x:c r="AA997" s="1"/>
      <x:c r="AB997" s="1"/>
      <x:c r="AC997" s="1"/>
      <x:c r="AD997" s="1"/>
      <x:c r="AE997" s="1"/>
      <x:c r="AF997" s="1"/>
    </x:row>
    <x:row r="998" ht="15.75" customHeight="1">
      <x:c r="A998" s="1"/>
      <x:c r="B998" s="37"/>
      <x:c r="C998" s="38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1"/>
      <x:c r="Y998" s="1"/>
      <x:c r="Z998" s="1"/>
      <x:c r="AA998" s="1"/>
      <x:c r="AB998" s="1"/>
      <x:c r="AC998" s="1"/>
      <x:c r="AD998" s="1"/>
      <x:c r="AE998" s="1"/>
      <x:c r="AF998" s="1"/>
    </x:row>
    <x:row r="999" ht="15.75" customHeight="1">
      <x:c r="A999" s="1"/>
      <x:c r="B999" s="37"/>
      <x:c r="C999" s="38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1"/>
      <x:c r="Y999" s="1"/>
      <x:c r="Z999" s="1"/>
      <x:c r="AA999" s="1"/>
      <x:c r="AB999" s="1"/>
      <x:c r="AC999" s="1"/>
      <x:c r="AD999" s="1"/>
      <x:c r="AE999" s="1"/>
      <x:c r="AF999" s="1"/>
    </x:row>
    <x:row r="1000" ht="15.75" customHeight="1">
      <x:c r="A1000" s="1"/>
      <x:c r="B1000" s="37"/>
      <x:c r="C1000" s="38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1"/>
      <x:c r="Y1000" s="1"/>
      <x:c r="Z1000" s="1"/>
      <x:c r="AA1000" s="1"/>
      <x:c r="AB1000" s="1"/>
      <x:c r="AC1000" s="1"/>
      <x:c r="AD1000" s="1"/>
      <x:c r="AE1000" s="1"/>
      <x:c r="AF1000" s="1"/>
    </x:row>
  </x:sheetData>
  <x:mergeCells>
    <x:mergeCell ref="B1:X1"/>
    <x:mergeCell ref="B2:C2"/>
    <x:mergeCell ref="B4:C4"/>
    <x:mergeCell ref="D4:E4"/>
    <x:mergeCell ref="G4:H4"/>
    <x:mergeCell ref="I4:AE4"/>
    <x:mergeCell ref="B101:C101"/>
  </x:mergeCells>
  <x:pageMargins left="0.7" right="0.7" top="0.75" bottom="0.75" header="0.3" footer="0.3"/>
</x:worksheet>
</file>